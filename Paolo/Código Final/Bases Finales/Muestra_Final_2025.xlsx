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547829\Downloads\"/>
    </mc:Choice>
  </mc:AlternateContent>
  <xr:revisionPtr revIDLastSave="0" documentId="13_ncr:1_{69BE8B71-96C0-4D15-BE9B-DA96986494C1}" xr6:coauthVersionLast="47" xr6:coauthVersionMax="47" xr10:uidLastSave="{00000000-0000-0000-0000-000000000000}"/>
  <bookViews>
    <workbookView xWindow="28680" yWindow="-75" windowWidth="29040" windowHeight="15720" tabRatio="777" firstSheet="1" activeTab="1" xr2:uid="{9DC65021-2043-4831-BD18-4FD4BAB95166}"/>
  </bookViews>
  <sheets>
    <sheet name="Muestras anteriores" sheetId="1" state="hidden" r:id="rId1"/>
    <sheet name="Consolidado" sheetId="6" r:id="rId2"/>
    <sheet name="Graduación" sheetId="11" r:id="rId3"/>
  </sheets>
  <definedNames>
    <definedName name="_xlnm._FilterDatabase" localSheetId="1" hidden="1">Consolidado!$A$1:$L$111</definedName>
    <definedName name="_xlnm._FilterDatabase" localSheetId="2" hidden="1">Graduación!$A$1:$F$255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C7" i="1"/>
  <c r="D7" i="1" s="1"/>
  <c r="F7" i="1" s="1"/>
  <c r="D6" i="1"/>
  <c r="F6" i="1" s="1"/>
  <c r="D5" i="1"/>
  <c r="F5" i="1" s="1"/>
  <c r="D4" i="1" l="1"/>
  <c r="F4" i="1" s="1"/>
</calcChain>
</file>

<file path=xl/sharedStrings.xml><?xml version="1.0" encoding="utf-8"?>
<sst xmlns="http://schemas.openxmlformats.org/spreadsheetml/2006/main" count="1108" uniqueCount="140">
  <si>
    <t>Año</t>
  </si>
  <si>
    <t>Universo</t>
  </si>
  <si>
    <t>Participación</t>
  </si>
  <si>
    <t>Error 5%</t>
  </si>
  <si>
    <t>Estratificado</t>
  </si>
  <si>
    <t>Total</t>
  </si>
  <si>
    <t>Muestra proporcional</t>
  </si>
  <si>
    <r>
      <t>Muestra anterior</t>
    </r>
    <r>
      <rPr>
        <sz val="11"/>
        <color theme="1"/>
        <rFont val="Calibri"/>
        <family val="2"/>
        <scheme val="minor"/>
      </rPr>
      <t xml:space="preserve"> (cálculo de multa + propuestas + otros)</t>
    </r>
  </si>
  <si>
    <t>Correlativo</t>
  </si>
  <si>
    <t>Informes</t>
  </si>
  <si>
    <t>00391-2025-OEFA/DFAI-SSAG</t>
  </si>
  <si>
    <t>00129-2025-OEFA/DFAI-SSAG</t>
  </si>
  <si>
    <t>00767-2025-OEFA/DFAI-SSAG</t>
  </si>
  <si>
    <t>00785-2025-OEFA/DFAI-SSAG</t>
  </si>
  <si>
    <t>00790-2025-OEFA/DFAI-SSAG</t>
  </si>
  <si>
    <t>00653-2025-OEFA/DFAI-SSAG</t>
  </si>
  <si>
    <t>01084-2025-OEFA/DFAI-SSAG</t>
  </si>
  <si>
    <t>00253-2025-OEFA/DFAI-SSAG</t>
  </si>
  <si>
    <t>00211-2025-OEFA/DFAI-SSAG</t>
  </si>
  <si>
    <t>01227-2025-OEFA/DFAI-SSAG</t>
  </si>
  <si>
    <t>00782-2025-OEFA/DFAI-SSAG</t>
  </si>
  <si>
    <t>00916-2025-OEFA/DFAI-SSAG</t>
  </si>
  <si>
    <t>00239-2025-OEFA/DFAI-SSAG</t>
  </si>
  <si>
    <t>01385-2025-OEFA/DFAI-SSAG</t>
  </si>
  <si>
    <t>02225-2024-OEFA/DFAI-SSAG</t>
  </si>
  <si>
    <t>00054-2025-OEFA/DFAI-SSAG</t>
  </si>
  <si>
    <t>01224-2025-OEFA/DFAI-SSAG</t>
  </si>
  <si>
    <t>00931-2025-OEFA/DFAI-SSAG</t>
  </si>
  <si>
    <t>01031-2025-OEFA/DFAI-SSAG</t>
  </si>
  <si>
    <t>01030-2025-OEFA/DFAI-SSAG</t>
  </si>
  <si>
    <t>01008-2025-OEFA/DFAI-SSAG</t>
  </si>
  <si>
    <t>00915-2025-OEFA/DFAI-SSAG</t>
  </si>
  <si>
    <t>00775-2025-OEFA/DFAI-SSAG</t>
  </si>
  <si>
    <t>01163-2025-OEFA/DFAI-SSAG</t>
  </si>
  <si>
    <t>00030-2025-OEFA/DFAI-SSAG</t>
  </si>
  <si>
    <t>00919-2025-OEFA/DFAI-SSAG</t>
  </si>
  <si>
    <t>00033-2025-OEFA/DFAI-SSAG</t>
  </si>
  <si>
    <t>00389-2025-OEFA/DFAI-SSAG</t>
  </si>
  <si>
    <t>00735-2025-OEFA/DFAI-SSAG</t>
  </si>
  <si>
    <t>Expediente</t>
  </si>
  <si>
    <t>Num_Imputacion</t>
  </si>
  <si>
    <t>Extremo</t>
  </si>
  <si>
    <t>Beneficio_ilícito</t>
  </si>
  <si>
    <t>Prob_Detección</t>
  </si>
  <si>
    <t>Multa</t>
  </si>
  <si>
    <t>Multa_Final</t>
  </si>
  <si>
    <t>Sancion_total</t>
  </si>
  <si>
    <t>Colapsar</t>
  </si>
  <si>
    <t>1180-2023-OEFA/DFAI/PAS</t>
  </si>
  <si>
    <t>Sector_Economico</t>
  </si>
  <si>
    <t>Imputacion</t>
  </si>
  <si>
    <t>Factores_agravantes</t>
  </si>
  <si>
    <t>Categoria_FA</t>
  </si>
  <si>
    <t>% FA</t>
  </si>
  <si>
    <t>F1</t>
  </si>
  <si>
    <t>Gravedad del daño al interés público y/o bien jurídico protegido</t>
  </si>
  <si>
    <t>F1 1.1</t>
  </si>
  <si>
    <t>El daño involucra uno o más de los siguientes Componentes Ambientales: a) Agua, b) Suelo, c) Aire, d) Flora y e) Fauna.</t>
  </si>
  <si>
    <t>F1 1.2</t>
  </si>
  <si>
    <t>Grado de incidencia en la calidad del ambiente.</t>
  </si>
  <si>
    <t>F1 1.3</t>
  </si>
  <si>
    <t>Según la extensión geográfica.</t>
  </si>
  <si>
    <t>F1 1.7</t>
  </si>
  <si>
    <t>F2</t>
  </si>
  <si>
    <t>EI perjuicio económico causado</t>
  </si>
  <si>
    <t>F3</t>
  </si>
  <si>
    <t>Aspectos ambientales o fuentes de contaminación</t>
  </si>
  <si>
    <t>F1 1.4</t>
  </si>
  <si>
    <t>Sobre la reversibilidad/recuperabilidad.</t>
  </si>
  <si>
    <t>F6</t>
  </si>
  <si>
    <t>Adopción de las medidas necesarias para revertir las consecuencias de la conducta infractora</t>
  </si>
  <si>
    <t>F5</t>
  </si>
  <si>
    <t>Corrección de la conducta infractora</t>
  </si>
  <si>
    <t>Afectacion a la salud de las personas</t>
  </si>
  <si>
    <t>administrado</t>
  </si>
  <si>
    <t>Frontera Energy del Perú S.A.</t>
  </si>
  <si>
    <t>F4</t>
  </si>
  <si>
    <t>Reincidencia en la comision de la infracción</t>
  </si>
  <si>
    <t>observaciones</t>
  </si>
  <si>
    <t>0113-2023-OEFA/DFAI/PAS</t>
  </si>
  <si>
    <t>Roa Churata Jacinto</t>
  </si>
  <si>
    <t>02 extremos</t>
  </si>
  <si>
    <t>Avícola Cristhian E.I.R.L.</t>
  </si>
  <si>
    <t>2244-2023-OEFA/DFAI/PAS</t>
  </si>
  <si>
    <t xml:space="preserve">1 y 2 </t>
  </si>
  <si>
    <t>0095-2022-OEFA/DFAI/PAS</t>
  </si>
  <si>
    <t>Destilería Naylamp E.I.R.L.</t>
  </si>
  <si>
    <t>0095-2024-OEFA/DFAI/PAS</t>
  </si>
  <si>
    <t>Angel Condori Bastidas</t>
  </si>
  <si>
    <t>2642-2023-OEFA/DFAI/PAS</t>
  </si>
  <si>
    <t>Congelado Superfish S.A.C.</t>
  </si>
  <si>
    <t>1105-2023-OEFA/DFAI/PAS</t>
  </si>
  <si>
    <t>Petróleos del Perú – PETROPERÚ S.A.</t>
  </si>
  <si>
    <t>Zeta Gas Andino S.A.</t>
  </si>
  <si>
    <t>2787-2023-OEFA/DFAI/PAS</t>
  </si>
  <si>
    <t>0376-2022-OEFA/DFAI/PAS</t>
  </si>
  <si>
    <t>Industria Gráfica Cimagraf SAC Edicion y Color SAC</t>
  </si>
  <si>
    <t>0026-2024-OEFA/DFAI/PAS</t>
  </si>
  <si>
    <t>Empresa de Generación Huallaga Sociedad Anónima</t>
  </si>
  <si>
    <t>2943-2023-OEFA/DFAI/PAS</t>
  </si>
  <si>
    <t>Municipalidad Distrital de Chumpi</t>
  </si>
  <si>
    <t>0897-2022-OEFA-DFAI-PAS</t>
  </si>
  <si>
    <t>Municipalidad Provincial de Ucayali</t>
  </si>
  <si>
    <t>2550-2023-OEFA/DFAI/PAS</t>
  </si>
  <si>
    <t>Grifo ITE E.I.R.L.</t>
  </si>
  <si>
    <t>1264-2023-OEFA/DFAI/PAS</t>
  </si>
  <si>
    <t>0887-2024-OEFA/DFAI/PAS</t>
  </si>
  <si>
    <t>Compañía Minera San Ignacio de Morococha S.A.A.</t>
  </si>
  <si>
    <t>2949-2023-OEFA/DFAI/PAS</t>
  </si>
  <si>
    <t>Municipalidad Provincial de Caraveli</t>
  </si>
  <si>
    <t>1237-2023-OEFA/DFAI/PAS</t>
  </si>
  <si>
    <t>Tulis Comercio y Servicios E.I.R.L.</t>
  </si>
  <si>
    <t>2356-2023-OEFA/DFAI/PAS</t>
  </si>
  <si>
    <t>Servicentro San Miguel Arcángel E.I.R.L.</t>
  </si>
  <si>
    <t>3051-2023-OEFA/DFAI/PAS</t>
  </si>
  <si>
    <t>Compañía Minera Ares S.A.C</t>
  </si>
  <si>
    <t>2556-2023-OEFA/DFAI/PAS</t>
  </si>
  <si>
    <t>Sapet Development Perú Inc. Sucursal del Perú</t>
  </si>
  <si>
    <t>2503-2023-OEFA/DFAI/PAS</t>
  </si>
  <si>
    <t>Municipalidad Distrital de Vista Alegre</t>
  </si>
  <si>
    <t>2668-2023-OEFA/DFAI/PAS</t>
  </si>
  <si>
    <t>SURTIFOODS PERU S.A.C.</t>
  </si>
  <si>
    <t>0694-2023-OEFA/DFAI/PAS</t>
  </si>
  <si>
    <t>Compañía Minera Chungar S.A.C.</t>
  </si>
  <si>
    <t>00017-2024-OEFA/DFAI/PAS</t>
  </si>
  <si>
    <t>Rengifo Shapiama Sergio</t>
  </si>
  <si>
    <t>2334-2023-OEFA/DFAI/PAS</t>
  </si>
  <si>
    <t>Municipalidad Provincial de Chincha</t>
  </si>
  <si>
    <t>Pluspetrol Perú Corporation S.A.</t>
  </si>
  <si>
    <t>Municipalidad Distrital de Pichanaqui</t>
  </si>
  <si>
    <t>0048-2023-OEFA/DFAI/PAS</t>
  </si>
  <si>
    <t>Macron Holding S.A.C.</t>
  </si>
  <si>
    <t>2160-2023-OEFA/DFAI/PAS</t>
  </si>
  <si>
    <t>00353-2025-OEFA-DFAI-SSAG</t>
  </si>
  <si>
    <t>00748-2025-OEFA/DFAI-SSAG</t>
  </si>
  <si>
    <t>1007-2022-OEFA/DFAI/PAS</t>
  </si>
  <si>
    <t>Construcciones G&amp;N E.I.R.L.</t>
  </si>
  <si>
    <t>1801-2023-OEFA/DFAI/PAS</t>
  </si>
  <si>
    <t>Municipalidad Distrital de Nueva Requena</t>
  </si>
  <si>
    <t>prob 1, f = 1, multa final es el doble de 0.811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</si>
</sst>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3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1" fontId="2" fillId="3" borderId="5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751974</xdr:colOff>
      <xdr:row>8</xdr:row>
      <xdr:rowOff>158750</xdr:rowOff>
    </xdr:from>
    <xdr:to>
      <xdr:col>5</xdr:col>
      <xdr:colOff>260684</xdr:colOff>
      <xdr:row>12</xdr:row>
      <xdr:rowOff>85914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070D3A-7886-4CDF-B107-36ADC624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974" y="1996908"/>
          <a:ext cx="3368842" cy="675796"/>
        </a:xfrm>
        <a:prstGeom prst="rect">
          <a:avLst/>
        </a:prstGeom>
      </xdr:spPr>
    </xdr:pic>
    <xdr:clientData/>
  </xdr:twoCellAnchor>
  <xdr:twoCellAnchor>
    <xdr:from>
      <xdr:col>5</xdr:col>
      <xdr:colOff>344236</xdr:colOff>
      <xdr:row>9</xdr:row>
      <xdr:rowOff>127000</xdr:rowOff>
    </xdr:from>
    <xdr:to>
      <xdr:col>5</xdr:col>
      <xdr:colOff>695157</xdr:colOff>
      <xdr:row>11</xdr:row>
      <xdr:rowOff>66842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586C3253-F8FD-771E-BACE-F90BF0519ED0}"/>
            </a:ext>
          </a:extLst>
        </xdr:cNvPr>
        <xdr:cNvSpPr/>
      </xdr:nvSpPr>
      <xdr:spPr>
        <a:xfrm>
          <a:off x="4204368" y="2148974"/>
          <a:ext cx="350921" cy="30747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98D9-8387-46AE-9FA5-0871BF149309}">
  <dimension ref="B2:G11"/>
  <sheetViews>
    <sheetView zoomScale="190" zoomScaleNormal="190" workbookViewId="0">
      <selection activeCell="G2" sqref="G2:G8"/>
    </sheetView>
  </sheetViews>
  <sheetFormatPr baseColWidth="10" defaultColWidth="10.85546875" defaultRowHeight="15" x14ac:dyDescent="0.25"/>
  <cols>
    <col min="1" max="3" width="10.85546875" style="1"/>
    <col min="4" max="4" width="11.5703125" style="1" bestFit="1" customWidth="1"/>
    <col min="5" max="5" width="10.85546875" style="1"/>
    <col min="6" max="6" width="11.42578125" style="1" bestFit="1" customWidth="1"/>
    <col min="7" max="7" width="10.85546875" style="1"/>
    <col min="8" max="8" width="12.140625" style="1" bestFit="1" customWidth="1"/>
    <col min="9" max="16384" width="10.85546875" style="1"/>
  </cols>
  <sheetData>
    <row r="2" spans="2:7" x14ac:dyDescent="0.25">
      <c r="B2" s="10" t="s">
        <v>7</v>
      </c>
    </row>
    <row r="3" spans="2:7" x14ac:dyDescent="0.25">
      <c r="B3" s="2" t="s">
        <v>0</v>
      </c>
      <c r="C3" s="2" t="s">
        <v>1</v>
      </c>
      <c r="D3" s="3" t="s">
        <v>2</v>
      </c>
      <c r="E3" s="3" t="s">
        <v>3</v>
      </c>
      <c r="F3" s="3" t="s">
        <v>4</v>
      </c>
    </row>
    <row r="4" spans="2:7" x14ac:dyDescent="0.25">
      <c r="B4" s="4">
        <v>2022</v>
      </c>
      <c r="C4" s="5">
        <v>3010</v>
      </c>
      <c r="D4" s="6">
        <f>C4/$C$7</f>
        <v>0.34080615942028986</v>
      </c>
      <c r="E4" s="24">
        <v>368.1938224306769</v>
      </c>
      <c r="F4" s="7">
        <f>D4*$E$4</f>
        <v>125.48272254487517</v>
      </c>
      <c r="G4" s="16"/>
    </row>
    <row r="5" spans="2:7" x14ac:dyDescent="0.25">
      <c r="B5" s="4">
        <v>2023</v>
      </c>
      <c r="C5" s="5">
        <v>4712</v>
      </c>
      <c r="D5" s="6">
        <f>C5/$C$7</f>
        <v>0.53351449275362317</v>
      </c>
      <c r="E5" s="25"/>
      <c r="F5" s="7">
        <f>D5*$E$4</f>
        <v>196.43674040912018</v>
      </c>
      <c r="G5" s="16"/>
    </row>
    <row r="6" spans="2:7" x14ac:dyDescent="0.25">
      <c r="B6" s="4">
        <v>2024</v>
      </c>
      <c r="C6" s="5">
        <v>1110</v>
      </c>
      <c r="D6" s="6">
        <f>C6/$C$7</f>
        <v>0.12567934782608695</v>
      </c>
      <c r="E6" s="25"/>
      <c r="F6" s="7">
        <f>D6*$E$4</f>
        <v>46.274359476681539</v>
      </c>
      <c r="G6" s="17"/>
    </row>
    <row r="7" spans="2:7" x14ac:dyDescent="0.25">
      <c r="B7" s="8" t="s">
        <v>5</v>
      </c>
      <c r="C7" s="5">
        <f>SUM(C4:C6)</f>
        <v>8832</v>
      </c>
      <c r="D7" s="6">
        <f>C7/$C$7</f>
        <v>1</v>
      </c>
      <c r="E7" s="26"/>
      <c r="F7" s="7">
        <f>D7*$E$4</f>
        <v>368.1938224306769</v>
      </c>
      <c r="G7" s="16"/>
    </row>
    <row r="8" spans="2:7" x14ac:dyDescent="0.25">
      <c r="F8" s="9">
        <v>92</v>
      </c>
    </row>
    <row r="9" spans="2:7" x14ac:dyDescent="0.25">
      <c r="B9" s="10" t="s">
        <v>6</v>
      </c>
    </row>
    <row r="10" spans="2:7" ht="15.75" thickBot="1" x14ac:dyDescent="0.3"/>
    <row r="11" spans="2:7" ht="15.75" thickBot="1" x14ac:dyDescent="0.3">
      <c r="G11" s="11">
        <f>((1.96))^2*0.5*(1-0.5)/(0.05)^2</f>
        <v>384.15999999999991</v>
      </c>
    </row>
  </sheetData>
  <mergeCells count="1">
    <mergeCell ref="E4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CC1E-E3B9-48C5-86D4-1D90133968BB}">
  <sheetPr>
    <tabColor rgb="FFFFFF00"/>
  </sheetPr>
  <dimension ref="A1:N111"/>
  <sheetViews>
    <sheetView tabSelected="1" workbookViewId="0">
      <pane ySplit="1" topLeftCell="A2" activePane="bottomLeft" state="frozen"/>
      <selection pane="bottomLeft" activeCell="A110" sqref="A110:XFD110"/>
    </sheetView>
  </sheetViews>
  <sheetFormatPr baseColWidth="10" defaultRowHeight="15" x14ac:dyDescent="0.25"/>
  <cols>
    <col min="1" max="1" width="8.7109375" customWidth="1"/>
    <col min="2" max="2" width="25.42578125" bestFit="1" customWidth="1"/>
    <col min="3" max="3" width="18.42578125" customWidth="1"/>
    <col min="4" max="4" width="7.140625" customWidth="1"/>
    <col min="5" max="5" width="8.140625" customWidth="1"/>
    <col min="6" max="6" width="9.85546875" customWidth="1"/>
    <col min="7" max="7" width="11.85546875" customWidth="1"/>
    <col min="8" max="8" width="10.42578125" bestFit="1" customWidth="1"/>
    <col min="9" max="9" width="10" customWidth="1"/>
    <col min="10" max="10" width="10.42578125" customWidth="1"/>
    <col min="11" max="11" width="9.7109375" customWidth="1"/>
    <col min="12" max="12" width="16.42578125" customWidth="1"/>
    <col min="13" max="13" width="28.5703125" customWidth="1"/>
  </cols>
  <sheetData>
    <row r="1" spans="1:13" x14ac:dyDescent="0.25">
      <c r="A1" s="12" t="s">
        <v>8</v>
      </c>
      <c r="B1" s="12" t="s">
        <v>9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49</v>
      </c>
      <c r="M1" s="19" t="s">
        <v>78</v>
      </c>
    </row>
    <row r="2" spans="1:13" s="1" customFormat="1" x14ac:dyDescent="0.25">
      <c r="A2" s="4">
        <v>142</v>
      </c>
      <c r="B2" s="22" t="s">
        <v>10</v>
      </c>
      <c r="C2" s="22" t="s">
        <v>79</v>
      </c>
      <c r="D2" s="22">
        <v>1</v>
      </c>
      <c r="E2" s="22">
        <v>1</v>
      </c>
      <c r="F2" s="22">
        <v>0.49</v>
      </c>
      <c r="G2" s="22">
        <v>0.5</v>
      </c>
      <c r="H2" s="22">
        <v>1.0980000000000001</v>
      </c>
      <c r="I2" s="22">
        <v>1.0980000000000001</v>
      </c>
      <c r="J2" s="22">
        <v>2.8279999999999998</v>
      </c>
      <c r="K2" s="22"/>
      <c r="L2" s="22"/>
      <c r="M2" s="22"/>
    </row>
    <row r="3" spans="1:13" x14ac:dyDescent="0.25">
      <c r="A3" s="15">
        <v>142</v>
      </c>
      <c r="B3" s="14" t="s">
        <v>10</v>
      </c>
      <c r="C3" s="14" t="s">
        <v>79</v>
      </c>
      <c r="D3" s="14">
        <v>1</v>
      </c>
      <c r="E3" s="14">
        <v>2</v>
      </c>
      <c r="F3" s="14">
        <v>0.56899999999999995</v>
      </c>
      <c r="G3" s="14">
        <v>0.5</v>
      </c>
      <c r="H3" s="14">
        <v>1.73</v>
      </c>
      <c r="I3" s="14">
        <v>1.73</v>
      </c>
      <c r="J3" s="14">
        <v>2.8279999999999998</v>
      </c>
      <c r="K3" s="14"/>
      <c r="L3" s="14"/>
      <c r="M3" s="14"/>
    </row>
    <row r="4" spans="1:13" x14ac:dyDescent="0.25">
      <c r="A4" s="15">
        <v>51</v>
      </c>
      <c r="B4" s="14" t="s">
        <v>11</v>
      </c>
      <c r="C4" s="14" t="s">
        <v>83</v>
      </c>
      <c r="D4" s="14">
        <v>1</v>
      </c>
      <c r="E4" s="14"/>
      <c r="F4" s="14">
        <v>1.2509999999999999</v>
      </c>
      <c r="G4" s="14">
        <v>1</v>
      </c>
      <c r="H4" s="14">
        <v>1.2509999999999999</v>
      </c>
      <c r="I4" s="14">
        <v>1.2509999999999999</v>
      </c>
      <c r="J4" s="14">
        <v>12.090999999999999</v>
      </c>
      <c r="K4" s="14"/>
      <c r="L4" s="14"/>
      <c r="M4" s="14"/>
    </row>
    <row r="5" spans="1:13" x14ac:dyDescent="0.25">
      <c r="A5" s="15">
        <v>51</v>
      </c>
      <c r="B5" s="14" t="s">
        <v>11</v>
      </c>
      <c r="C5" s="14" t="s">
        <v>83</v>
      </c>
      <c r="D5" s="14">
        <v>2</v>
      </c>
      <c r="E5" s="14"/>
      <c r="F5" s="14">
        <v>1.2250000000000001</v>
      </c>
      <c r="G5" s="14">
        <v>1</v>
      </c>
      <c r="H5" s="14">
        <v>1.2250000000000001</v>
      </c>
      <c r="I5" s="14">
        <v>1.2250000000000001</v>
      </c>
      <c r="J5" s="14">
        <v>12.090999999999999</v>
      </c>
      <c r="K5" s="14"/>
      <c r="L5" s="14"/>
      <c r="M5" s="14"/>
    </row>
    <row r="6" spans="1:13" x14ac:dyDescent="0.25">
      <c r="A6" s="15">
        <v>51</v>
      </c>
      <c r="B6" s="14" t="s">
        <v>11</v>
      </c>
      <c r="C6" s="14" t="s">
        <v>83</v>
      </c>
      <c r="D6" s="14">
        <v>3</v>
      </c>
      <c r="E6" s="14"/>
      <c r="F6" s="14">
        <v>1.2250000000000001</v>
      </c>
      <c r="G6" s="14">
        <v>1</v>
      </c>
      <c r="H6" s="14">
        <v>1.2250000000000001</v>
      </c>
      <c r="I6" s="14">
        <v>1.2250000000000001</v>
      </c>
      <c r="J6" s="14">
        <v>12.090999999999999</v>
      </c>
      <c r="K6" s="14"/>
      <c r="L6" s="14"/>
      <c r="M6" s="14"/>
    </row>
    <row r="7" spans="1:13" x14ac:dyDescent="0.25">
      <c r="A7" s="15">
        <v>51</v>
      </c>
      <c r="B7" s="14" t="s">
        <v>11</v>
      </c>
      <c r="C7" s="14" t="s">
        <v>83</v>
      </c>
      <c r="D7" s="14">
        <v>4</v>
      </c>
      <c r="E7" s="14"/>
      <c r="F7" s="14">
        <v>1.1990000000000001</v>
      </c>
      <c r="G7" s="14">
        <v>1</v>
      </c>
      <c r="H7" s="14">
        <v>1199</v>
      </c>
      <c r="I7" s="14">
        <v>1.1990000000000001</v>
      </c>
      <c r="J7" s="14">
        <v>12.090999999999999</v>
      </c>
      <c r="K7" s="14"/>
      <c r="L7" s="14"/>
      <c r="M7" s="14"/>
    </row>
    <row r="8" spans="1:13" x14ac:dyDescent="0.25">
      <c r="A8" s="15">
        <v>51</v>
      </c>
      <c r="B8" s="14" t="s">
        <v>11</v>
      </c>
      <c r="C8" s="14" t="s">
        <v>83</v>
      </c>
      <c r="D8" s="14">
        <v>9</v>
      </c>
      <c r="E8" s="14"/>
      <c r="F8" s="14">
        <v>0.66600000000000004</v>
      </c>
      <c r="G8" s="14">
        <v>0.5</v>
      </c>
      <c r="H8" s="14">
        <v>1.8120000000000001</v>
      </c>
      <c r="I8" s="14">
        <v>1.8120000000000001</v>
      </c>
      <c r="J8" s="14">
        <v>12.090999999999999</v>
      </c>
      <c r="K8" s="14"/>
      <c r="L8" s="14"/>
      <c r="M8" s="14"/>
    </row>
    <row r="9" spans="1:13" x14ac:dyDescent="0.25">
      <c r="A9" s="15">
        <v>51</v>
      </c>
      <c r="B9" s="14" t="s">
        <v>11</v>
      </c>
      <c r="C9" s="14" t="s">
        <v>83</v>
      </c>
      <c r="D9" s="14">
        <v>10</v>
      </c>
      <c r="E9" s="14"/>
      <c r="F9" s="14">
        <v>0.20699999999999999</v>
      </c>
      <c r="G9" s="14">
        <v>0.5</v>
      </c>
      <c r="H9" s="14">
        <v>0.48</v>
      </c>
      <c r="I9" s="14">
        <v>0.48</v>
      </c>
      <c r="J9" s="14">
        <v>12.090999999999999</v>
      </c>
      <c r="K9" s="14"/>
      <c r="L9" s="14"/>
      <c r="M9" s="14"/>
    </row>
    <row r="10" spans="1:13" s="1" customFormat="1" x14ac:dyDescent="0.25">
      <c r="A10" s="4">
        <v>51</v>
      </c>
      <c r="B10" s="22" t="s">
        <v>11</v>
      </c>
      <c r="C10" s="22" t="s">
        <v>83</v>
      </c>
      <c r="D10" s="22">
        <v>11</v>
      </c>
      <c r="E10" s="23" t="s">
        <v>84</v>
      </c>
      <c r="F10" s="22">
        <v>0.76600000000000001</v>
      </c>
      <c r="G10" s="22">
        <v>0.5</v>
      </c>
      <c r="H10" s="22">
        <v>2.0840000000000001</v>
      </c>
      <c r="I10" s="22">
        <v>2.0840000000000001</v>
      </c>
      <c r="J10" s="22">
        <v>12.090999999999999</v>
      </c>
      <c r="K10" s="22"/>
      <c r="L10" s="22"/>
      <c r="M10" s="22"/>
    </row>
    <row r="11" spans="1:13" x14ac:dyDescent="0.25">
      <c r="A11" s="15">
        <v>51</v>
      </c>
      <c r="B11" s="14" t="s">
        <v>11</v>
      </c>
      <c r="C11" s="14" t="s">
        <v>83</v>
      </c>
      <c r="D11" s="14">
        <v>12</v>
      </c>
      <c r="E11" s="14"/>
      <c r="F11" s="14">
        <v>0.316</v>
      </c>
      <c r="G11" s="14">
        <v>0.5</v>
      </c>
      <c r="H11" s="14">
        <v>0.73299999999999998</v>
      </c>
      <c r="I11" s="14">
        <v>0.73299999999999998</v>
      </c>
      <c r="J11" s="14">
        <v>12.090999999999999</v>
      </c>
      <c r="K11" s="14"/>
      <c r="L11" s="14"/>
      <c r="M11" s="14"/>
    </row>
    <row r="12" spans="1:13" x14ac:dyDescent="0.25">
      <c r="A12" s="15">
        <v>51</v>
      </c>
      <c r="B12" s="14" t="s">
        <v>11</v>
      </c>
      <c r="C12" s="14" t="s">
        <v>83</v>
      </c>
      <c r="D12" s="14">
        <v>13</v>
      </c>
      <c r="E12" s="14"/>
      <c r="F12" s="14">
        <v>0.874</v>
      </c>
      <c r="G12" s="14">
        <v>1</v>
      </c>
      <c r="H12" s="14">
        <v>0.874</v>
      </c>
      <c r="I12" s="14">
        <v>0.874</v>
      </c>
      <c r="J12" s="14">
        <v>12.090999999999999</v>
      </c>
      <c r="K12" s="14"/>
      <c r="L12" s="14"/>
      <c r="M12" s="14"/>
    </row>
    <row r="13" spans="1:13" x14ac:dyDescent="0.25">
      <c r="A13" s="15">
        <v>51</v>
      </c>
      <c r="B13" s="14" t="s">
        <v>11</v>
      </c>
      <c r="C13" s="14" t="s">
        <v>83</v>
      </c>
      <c r="D13" s="14">
        <v>14</v>
      </c>
      <c r="E13" s="14"/>
      <c r="F13" s="14">
        <v>0.44400000000000001</v>
      </c>
      <c r="G13" s="14">
        <v>0.5</v>
      </c>
      <c r="H13" s="14">
        <v>1.208</v>
      </c>
      <c r="I13" s="14">
        <v>1.208</v>
      </c>
      <c r="J13" s="14">
        <v>12.090999999999999</v>
      </c>
      <c r="K13" s="14"/>
      <c r="L13" s="14"/>
      <c r="M13" s="14"/>
    </row>
    <row r="14" spans="1:13" x14ac:dyDescent="0.25">
      <c r="A14" s="15">
        <v>208</v>
      </c>
      <c r="B14" s="14" t="s">
        <v>12</v>
      </c>
      <c r="C14" s="14" t="s">
        <v>85</v>
      </c>
      <c r="D14" s="14">
        <v>1</v>
      </c>
      <c r="E14" s="14"/>
      <c r="F14" s="14">
        <v>7.2999999999999995E-2</v>
      </c>
      <c r="G14" s="14">
        <v>1</v>
      </c>
      <c r="H14" s="14">
        <v>7.2999999999999995E-2</v>
      </c>
      <c r="I14" s="14">
        <v>7.2999999999999995E-2</v>
      </c>
      <c r="J14" s="14">
        <v>7.2999999999999995E-2</v>
      </c>
      <c r="K14" s="14"/>
      <c r="L14" s="14"/>
      <c r="M14" s="14"/>
    </row>
    <row r="15" spans="1:13" x14ac:dyDescent="0.25">
      <c r="A15" s="15">
        <v>218</v>
      </c>
      <c r="B15" s="14" t="s">
        <v>13</v>
      </c>
      <c r="C15" s="14" t="s">
        <v>87</v>
      </c>
      <c r="D15" s="14">
        <v>2</v>
      </c>
      <c r="E15" s="14"/>
      <c r="F15" s="14">
        <v>1.3149999999999999</v>
      </c>
      <c r="G15" s="14">
        <v>1</v>
      </c>
      <c r="H15" s="14">
        <v>1.3149999999999999</v>
      </c>
      <c r="I15" s="14">
        <v>0.92100000000000004</v>
      </c>
      <c r="J15" s="14">
        <v>2.335</v>
      </c>
      <c r="K15" s="14"/>
      <c r="L15" s="14"/>
      <c r="M15" s="14"/>
    </row>
    <row r="16" spans="1:13" x14ac:dyDescent="0.25">
      <c r="A16" s="15">
        <v>218</v>
      </c>
      <c r="B16" s="14" t="s">
        <v>13</v>
      </c>
      <c r="C16" s="14" t="s">
        <v>87</v>
      </c>
      <c r="D16" s="14">
        <v>3</v>
      </c>
      <c r="E16" s="14"/>
      <c r="F16" s="14">
        <v>1.1919999999999999</v>
      </c>
      <c r="G16" s="14">
        <v>1</v>
      </c>
      <c r="H16" s="14">
        <v>1.1919999999999999</v>
      </c>
      <c r="I16" s="14">
        <v>0.83399999999999996</v>
      </c>
      <c r="J16" s="14">
        <v>2.335</v>
      </c>
      <c r="K16" s="14"/>
      <c r="L16" s="14"/>
      <c r="M16" s="14"/>
    </row>
    <row r="17" spans="1:13" x14ac:dyDescent="0.25">
      <c r="A17" s="15">
        <v>218</v>
      </c>
      <c r="B17" s="14" t="s">
        <v>13</v>
      </c>
      <c r="C17" s="14" t="s">
        <v>87</v>
      </c>
      <c r="D17" s="14">
        <v>5</v>
      </c>
      <c r="E17" s="14"/>
      <c r="F17" s="14">
        <v>0.82799999999999996</v>
      </c>
      <c r="G17" s="14">
        <v>1</v>
      </c>
      <c r="H17" s="14">
        <v>0.82799999999999996</v>
      </c>
      <c r="I17" s="14">
        <v>0.57999999999999996</v>
      </c>
      <c r="J17" s="14">
        <v>2.335</v>
      </c>
      <c r="K17" s="14"/>
      <c r="L17" s="14"/>
      <c r="M17" s="14"/>
    </row>
    <row r="18" spans="1:13" x14ac:dyDescent="0.25">
      <c r="A18" s="15">
        <v>220</v>
      </c>
      <c r="B18" s="14" t="s">
        <v>14</v>
      </c>
      <c r="C18" s="14" t="s">
        <v>89</v>
      </c>
      <c r="D18" s="14">
        <v>1</v>
      </c>
      <c r="E18" s="14"/>
      <c r="F18" s="14">
        <v>0.29399999999999998</v>
      </c>
      <c r="G18" s="14">
        <v>1</v>
      </c>
      <c r="H18" s="14">
        <v>0.29399999999999998</v>
      </c>
      <c r="I18" s="14">
        <v>0.29399999999999998</v>
      </c>
      <c r="J18" s="14">
        <v>1.329</v>
      </c>
      <c r="K18" s="14"/>
      <c r="L18" s="14"/>
      <c r="M18" s="14"/>
    </row>
    <row r="19" spans="1:13" x14ac:dyDescent="0.25">
      <c r="A19" s="15">
        <v>220</v>
      </c>
      <c r="B19" s="14" t="s">
        <v>14</v>
      </c>
      <c r="C19" s="14" t="s">
        <v>89</v>
      </c>
      <c r="D19" s="14">
        <v>2</v>
      </c>
      <c r="E19" s="14"/>
      <c r="F19" s="14">
        <v>0.63900000000000001</v>
      </c>
      <c r="G19" s="14">
        <v>1</v>
      </c>
      <c r="H19" s="14">
        <v>1.0349999999999999</v>
      </c>
      <c r="I19" s="14">
        <v>1.0349999999999999</v>
      </c>
      <c r="J19" s="14">
        <v>1.329</v>
      </c>
      <c r="K19" s="14"/>
      <c r="L19" s="14"/>
      <c r="M19" s="14"/>
    </row>
    <row r="20" spans="1:13" s="1" customFormat="1" x14ac:dyDescent="0.25">
      <c r="A20" s="4">
        <v>152</v>
      </c>
      <c r="B20" s="22" t="s">
        <v>15</v>
      </c>
      <c r="C20" s="22" t="s">
        <v>91</v>
      </c>
      <c r="D20" s="22">
        <v>1</v>
      </c>
      <c r="E20" s="22"/>
      <c r="F20" s="22">
        <v>6.65</v>
      </c>
      <c r="G20" s="22">
        <v>0.75</v>
      </c>
      <c r="H20" s="22">
        <v>17.911000000000001</v>
      </c>
      <c r="I20" s="22">
        <v>17.911000000000001</v>
      </c>
      <c r="J20" s="22">
        <v>17.911000000000001</v>
      </c>
      <c r="K20" s="22"/>
      <c r="L20" s="22"/>
      <c r="M20" s="22"/>
    </row>
    <row r="21" spans="1:13" x14ac:dyDescent="0.25">
      <c r="A21" s="15">
        <v>314</v>
      </c>
      <c r="B21" s="14" t="s">
        <v>16</v>
      </c>
      <c r="C21" s="14" t="s">
        <v>94</v>
      </c>
      <c r="D21" s="14">
        <v>2</v>
      </c>
      <c r="E21" s="14"/>
      <c r="F21" s="14">
        <v>0.253</v>
      </c>
      <c r="G21" s="14">
        <v>1</v>
      </c>
      <c r="H21" s="14">
        <v>0.253</v>
      </c>
      <c r="I21" s="14">
        <v>0.127</v>
      </c>
      <c r="J21" s="14">
        <v>19.3</v>
      </c>
      <c r="K21" s="14"/>
      <c r="L21" s="14"/>
      <c r="M21" s="14"/>
    </row>
    <row r="22" spans="1:13" x14ac:dyDescent="0.25">
      <c r="A22" s="15">
        <v>314</v>
      </c>
      <c r="B22" s="14" t="s">
        <v>16</v>
      </c>
      <c r="C22" s="14" t="s">
        <v>94</v>
      </c>
      <c r="D22" s="14">
        <v>3</v>
      </c>
      <c r="E22" s="14"/>
      <c r="F22" s="14">
        <v>1.514</v>
      </c>
      <c r="G22" s="14">
        <v>1</v>
      </c>
      <c r="H22" s="14">
        <v>1.514</v>
      </c>
      <c r="I22" s="14">
        <v>1.06</v>
      </c>
      <c r="J22" s="14">
        <v>19.3</v>
      </c>
      <c r="K22" s="14"/>
      <c r="L22" s="14"/>
      <c r="M22" s="14"/>
    </row>
    <row r="23" spans="1:13" x14ac:dyDescent="0.25">
      <c r="A23" s="15">
        <v>314</v>
      </c>
      <c r="B23" s="14" t="s">
        <v>16</v>
      </c>
      <c r="C23" s="14" t="s">
        <v>94</v>
      </c>
      <c r="D23" s="14">
        <v>4</v>
      </c>
      <c r="E23" s="14"/>
      <c r="F23" s="14">
        <v>1.482</v>
      </c>
      <c r="G23" s="14">
        <v>1</v>
      </c>
      <c r="H23" s="14">
        <v>1.482</v>
      </c>
      <c r="I23" s="14">
        <v>0.74099999999999999</v>
      </c>
      <c r="J23" s="14">
        <v>19.3</v>
      </c>
      <c r="K23" s="14"/>
      <c r="L23" s="14"/>
      <c r="M23" s="14"/>
    </row>
    <row r="24" spans="1:13" x14ac:dyDescent="0.25">
      <c r="A24" s="15">
        <v>314</v>
      </c>
      <c r="B24" s="14" t="s">
        <v>16</v>
      </c>
      <c r="C24" s="14" t="s">
        <v>94</v>
      </c>
      <c r="D24" s="14">
        <v>5</v>
      </c>
      <c r="E24" s="14"/>
      <c r="F24" s="14">
        <v>1.534</v>
      </c>
      <c r="G24" s="14">
        <v>1</v>
      </c>
      <c r="H24" s="14">
        <v>1.534</v>
      </c>
      <c r="I24" s="14">
        <v>0.76700000000000002</v>
      </c>
      <c r="J24" s="14">
        <v>19.3</v>
      </c>
      <c r="K24" s="14"/>
      <c r="L24" s="14"/>
      <c r="M24" s="14"/>
    </row>
    <row r="25" spans="1:13" x14ac:dyDescent="0.25">
      <c r="A25" s="15">
        <v>314</v>
      </c>
      <c r="B25" s="14" t="s">
        <v>16</v>
      </c>
      <c r="C25" s="14" t="s">
        <v>94</v>
      </c>
      <c r="D25" s="14">
        <v>6</v>
      </c>
      <c r="E25" s="14"/>
      <c r="F25" s="14">
        <v>1.4610000000000001</v>
      </c>
      <c r="G25" s="14">
        <v>1</v>
      </c>
      <c r="H25" s="14">
        <v>1.4610000000000001</v>
      </c>
      <c r="I25" s="14">
        <v>0.73099999999999998</v>
      </c>
      <c r="J25" s="14">
        <v>19.3</v>
      </c>
      <c r="K25" s="14"/>
      <c r="L25" s="14"/>
      <c r="M25" s="14"/>
    </row>
    <row r="26" spans="1:13" x14ac:dyDescent="0.25">
      <c r="A26" s="15">
        <v>314</v>
      </c>
      <c r="B26" s="14" t="s">
        <v>16</v>
      </c>
      <c r="C26" s="14" t="s">
        <v>94</v>
      </c>
      <c r="D26" s="14">
        <v>7</v>
      </c>
      <c r="E26" s="14"/>
      <c r="F26" s="14">
        <v>1.411</v>
      </c>
      <c r="G26" s="14">
        <v>1</v>
      </c>
      <c r="H26" s="14">
        <v>1.411</v>
      </c>
      <c r="I26" s="14">
        <v>0.70599999999999996</v>
      </c>
      <c r="J26" s="14">
        <v>19.3</v>
      </c>
      <c r="K26" s="14"/>
      <c r="L26" s="14"/>
      <c r="M26" s="14"/>
    </row>
    <row r="27" spans="1:13" x14ac:dyDescent="0.25">
      <c r="A27" s="15">
        <v>314</v>
      </c>
      <c r="B27" s="14" t="s">
        <v>16</v>
      </c>
      <c r="C27" s="14" t="s">
        <v>94</v>
      </c>
      <c r="D27" s="14">
        <v>8</v>
      </c>
      <c r="E27" s="14"/>
      <c r="F27" s="14">
        <v>1.4410000000000001</v>
      </c>
      <c r="G27" s="14">
        <v>1</v>
      </c>
      <c r="H27" s="14">
        <v>1.4410000000000001</v>
      </c>
      <c r="I27" s="14">
        <v>0.72099999999999997</v>
      </c>
      <c r="J27" s="14">
        <v>19.3</v>
      </c>
      <c r="K27" s="14"/>
      <c r="L27" s="14"/>
      <c r="M27" s="14"/>
    </row>
    <row r="28" spans="1:13" x14ac:dyDescent="0.25">
      <c r="A28" s="15">
        <v>314</v>
      </c>
      <c r="B28" s="14" t="s">
        <v>16</v>
      </c>
      <c r="C28" s="14" t="s">
        <v>94</v>
      </c>
      <c r="D28" s="14">
        <v>9</v>
      </c>
      <c r="E28" s="14"/>
      <c r="F28" s="14">
        <v>1.4510000000000001</v>
      </c>
      <c r="G28" s="14">
        <v>1</v>
      </c>
      <c r="H28" s="14">
        <v>1.4510000000000001</v>
      </c>
      <c r="I28" s="14">
        <v>0.72599999999999998</v>
      </c>
      <c r="J28" s="14">
        <v>19.3</v>
      </c>
      <c r="K28" s="14"/>
      <c r="L28" s="14"/>
      <c r="M28" s="14"/>
    </row>
    <row r="29" spans="1:13" x14ac:dyDescent="0.25">
      <c r="A29" s="15">
        <v>314</v>
      </c>
      <c r="B29" s="14" t="s">
        <v>16</v>
      </c>
      <c r="C29" s="14" t="s">
        <v>94</v>
      </c>
      <c r="D29" s="14">
        <v>10</v>
      </c>
      <c r="E29" s="14"/>
      <c r="F29" s="14">
        <v>1.4790000000000001</v>
      </c>
      <c r="G29" s="14">
        <v>1</v>
      </c>
      <c r="H29" s="14">
        <v>1.4790000000000001</v>
      </c>
      <c r="I29" s="14">
        <v>0.74</v>
      </c>
      <c r="J29" s="14">
        <v>19.3</v>
      </c>
      <c r="K29" s="14"/>
      <c r="L29" s="14"/>
      <c r="M29" s="14"/>
    </row>
    <row r="30" spans="1:13" s="1" customFormat="1" x14ac:dyDescent="0.25">
      <c r="A30" s="4">
        <v>314</v>
      </c>
      <c r="B30" s="22" t="s">
        <v>16</v>
      </c>
      <c r="C30" s="22" t="s">
        <v>94</v>
      </c>
      <c r="D30" s="22">
        <v>11</v>
      </c>
      <c r="E30" s="22"/>
      <c r="F30" s="22">
        <v>1.387</v>
      </c>
      <c r="G30" s="22">
        <v>1</v>
      </c>
      <c r="H30" s="22">
        <v>1.387</v>
      </c>
      <c r="I30" s="22">
        <v>1.387</v>
      </c>
      <c r="J30" s="22">
        <v>19.3</v>
      </c>
      <c r="K30" s="22"/>
      <c r="L30" s="22"/>
      <c r="M30" s="22"/>
    </row>
    <row r="31" spans="1:13" x14ac:dyDescent="0.25">
      <c r="A31" s="15">
        <v>314</v>
      </c>
      <c r="B31" s="14" t="s">
        <v>16</v>
      </c>
      <c r="C31" s="14" t="s">
        <v>94</v>
      </c>
      <c r="D31" s="14">
        <v>12</v>
      </c>
      <c r="E31" s="14"/>
      <c r="F31" s="14">
        <v>1.4039999999999999</v>
      </c>
      <c r="G31" s="14">
        <v>1</v>
      </c>
      <c r="H31" s="14">
        <v>1.4039999999999999</v>
      </c>
      <c r="I31" s="14">
        <v>1.4039999999999999</v>
      </c>
      <c r="J31" s="14">
        <v>19.3</v>
      </c>
      <c r="K31" s="14"/>
      <c r="L31" s="14"/>
      <c r="M31" s="14"/>
    </row>
    <row r="32" spans="1:13" x14ac:dyDescent="0.25">
      <c r="A32" s="15">
        <v>314</v>
      </c>
      <c r="B32" s="14" t="s">
        <v>16</v>
      </c>
      <c r="C32" s="14" t="s">
        <v>94</v>
      </c>
      <c r="D32" s="14">
        <v>13</v>
      </c>
      <c r="E32" s="14"/>
      <c r="F32" s="14">
        <v>1.454</v>
      </c>
      <c r="G32" s="14">
        <v>1</v>
      </c>
      <c r="H32" s="14">
        <v>1.454</v>
      </c>
      <c r="I32" s="14">
        <v>1.454</v>
      </c>
      <c r="J32" s="14">
        <v>19.3</v>
      </c>
      <c r="K32" s="14"/>
      <c r="L32" s="14"/>
      <c r="M32" s="14"/>
    </row>
    <row r="33" spans="1:13" x14ac:dyDescent="0.25">
      <c r="A33" s="15">
        <v>314</v>
      </c>
      <c r="B33" s="14" t="s">
        <v>16</v>
      </c>
      <c r="C33" s="14" t="s">
        <v>94</v>
      </c>
      <c r="D33" s="14">
        <v>14</v>
      </c>
      <c r="E33" s="14"/>
      <c r="F33" s="14">
        <v>1.385</v>
      </c>
      <c r="G33" s="14">
        <v>1</v>
      </c>
      <c r="H33" s="14">
        <v>1.385</v>
      </c>
      <c r="I33" s="14">
        <v>1.385</v>
      </c>
      <c r="J33" s="14">
        <v>19.3</v>
      </c>
      <c r="K33" s="14"/>
      <c r="L33" s="14"/>
      <c r="M33" s="14"/>
    </row>
    <row r="34" spans="1:13" x14ac:dyDescent="0.25">
      <c r="A34" s="15">
        <v>314</v>
      </c>
      <c r="B34" s="14" t="s">
        <v>16</v>
      </c>
      <c r="C34" s="14" t="s">
        <v>94</v>
      </c>
      <c r="D34" s="14">
        <v>15</v>
      </c>
      <c r="E34" s="14"/>
      <c r="F34" s="14">
        <v>1.337</v>
      </c>
      <c r="G34" s="14">
        <v>1</v>
      </c>
      <c r="H34" s="14">
        <v>1.337</v>
      </c>
      <c r="I34" s="14">
        <v>1.337</v>
      </c>
      <c r="J34" s="14">
        <v>19.3</v>
      </c>
      <c r="K34" s="14"/>
      <c r="L34" s="14"/>
      <c r="M34" s="14"/>
    </row>
    <row r="35" spans="1:13" x14ac:dyDescent="0.25">
      <c r="A35" s="15">
        <v>314</v>
      </c>
      <c r="B35" s="14" t="s">
        <v>16</v>
      </c>
      <c r="C35" s="14" t="s">
        <v>94</v>
      </c>
      <c r="D35" s="14">
        <v>16</v>
      </c>
      <c r="E35" s="14"/>
      <c r="F35" s="14">
        <v>1.365</v>
      </c>
      <c r="G35" s="14">
        <v>1</v>
      </c>
      <c r="H35" s="14">
        <v>1.365</v>
      </c>
      <c r="I35" s="14">
        <v>1.365</v>
      </c>
      <c r="J35" s="14">
        <v>19.3</v>
      </c>
      <c r="K35" s="14"/>
      <c r="L35" s="14"/>
      <c r="M35" s="14"/>
    </row>
    <row r="36" spans="1:13" x14ac:dyDescent="0.25">
      <c r="A36" s="15">
        <v>314</v>
      </c>
      <c r="B36" s="14" t="s">
        <v>16</v>
      </c>
      <c r="C36" s="14" t="s">
        <v>94</v>
      </c>
      <c r="D36" s="14">
        <v>17</v>
      </c>
      <c r="E36" s="14"/>
      <c r="F36" s="14">
        <v>1.375</v>
      </c>
      <c r="G36" s="14">
        <v>1</v>
      </c>
      <c r="H36" s="14">
        <v>1.375</v>
      </c>
      <c r="I36" s="14">
        <v>1.375</v>
      </c>
      <c r="J36" s="14">
        <v>19.3</v>
      </c>
      <c r="K36" s="14"/>
      <c r="L36" s="14"/>
      <c r="M36" s="14"/>
    </row>
    <row r="37" spans="1:13" x14ac:dyDescent="0.25">
      <c r="A37" s="15">
        <v>314</v>
      </c>
      <c r="B37" s="14" t="s">
        <v>16</v>
      </c>
      <c r="C37" s="14" t="s">
        <v>94</v>
      </c>
      <c r="D37" s="14">
        <v>18</v>
      </c>
      <c r="E37" s="14"/>
      <c r="F37" s="14">
        <v>1.401</v>
      </c>
      <c r="G37" s="14">
        <v>1</v>
      </c>
      <c r="H37" s="14">
        <v>1.401</v>
      </c>
      <c r="I37" s="14">
        <v>1.401</v>
      </c>
      <c r="J37" s="14">
        <v>19.3</v>
      </c>
      <c r="K37" s="14"/>
      <c r="L37" s="14"/>
      <c r="M37" s="14"/>
    </row>
    <row r="38" spans="1:13" x14ac:dyDescent="0.25">
      <c r="A38" s="15">
        <v>314</v>
      </c>
      <c r="B38" s="14" t="s">
        <v>16</v>
      </c>
      <c r="C38" s="14" t="s">
        <v>94</v>
      </c>
      <c r="D38" s="14">
        <v>19</v>
      </c>
      <c r="E38" s="14"/>
      <c r="F38" s="14">
        <v>0.26700000000000002</v>
      </c>
      <c r="G38" s="14">
        <v>1</v>
      </c>
      <c r="H38" s="14">
        <v>0.26700000000000002</v>
      </c>
      <c r="I38" s="14">
        <v>0.13400000000000001</v>
      </c>
      <c r="J38" s="14">
        <v>19.3</v>
      </c>
      <c r="K38" s="14"/>
      <c r="L38" s="14"/>
      <c r="M38" s="14"/>
    </row>
    <row r="39" spans="1:13" x14ac:dyDescent="0.25">
      <c r="A39" s="15">
        <v>314</v>
      </c>
      <c r="B39" s="14" t="s">
        <v>16</v>
      </c>
      <c r="C39" s="14" t="s">
        <v>94</v>
      </c>
      <c r="D39" s="14">
        <v>20</v>
      </c>
      <c r="E39" s="14"/>
      <c r="F39" s="14">
        <v>1.2430000000000001</v>
      </c>
      <c r="G39" s="14">
        <v>1</v>
      </c>
      <c r="H39" s="14">
        <v>1.2430000000000001</v>
      </c>
      <c r="I39" s="14">
        <v>0.622</v>
      </c>
      <c r="J39" s="14">
        <v>19.3</v>
      </c>
      <c r="K39" s="14"/>
      <c r="L39" s="14"/>
      <c r="M39" s="14"/>
    </row>
    <row r="40" spans="1:13" s="1" customFormat="1" x14ac:dyDescent="0.25">
      <c r="A40" s="4">
        <v>314</v>
      </c>
      <c r="B40" s="22" t="s">
        <v>16</v>
      </c>
      <c r="C40" s="22" t="s">
        <v>94</v>
      </c>
      <c r="D40" s="22">
        <v>21</v>
      </c>
      <c r="E40" s="22"/>
      <c r="F40" s="22">
        <v>1.117</v>
      </c>
      <c r="G40" s="22">
        <v>1</v>
      </c>
      <c r="H40" s="22">
        <v>1.117</v>
      </c>
      <c r="I40" s="22">
        <v>1.117</v>
      </c>
      <c r="J40" s="22">
        <v>19.3</v>
      </c>
      <c r="K40" s="22"/>
      <c r="L40" s="22"/>
      <c r="M40" s="22"/>
    </row>
    <row r="41" spans="1:13" x14ac:dyDescent="0.25">
      <c r="A41" s="15">
        <v>93</v>
      </c>
      <c r="B41" s="14" t="s">
        <v>17</v>
      </c>
      <c r="C41" s="14" t="s">
        <v>95</v>
      </c>
      <c r="D41" s="14">
        <v>1</v>
      </c>
      <c r="E41" s="14"/>
      <c r="F41" s="14">
        <v>1.1879999999999999</v>
      </c>
      <c r="G41" s="14">
        <v>1</v>
      </c>
      <c r="H41" s="14">
        <v>1.1879999999999999</v>
      </c>
      <c r="I41" s="14">
        <v>0.59399999999999997</v>
      </c>
      <c r="J41" s="14">
        <v>1.708</v>
      </c>
      <c r="K41" s="14"/>
      <c r="L41" s="14"/>
      <c r="M41" s="14"/>
    </row>
    <row r="42" spans="1:13" x14ac:dyDescent="0.25">
      <c r="A42" s="15">
        <v>93</v>
      </c>
      <c r="B42" s="14" t="s">
        <v>17</v>
      </c>
      <c r="C42" s="14" t="s">
        <v>95</v>
      </c>
      <c r="D42" s="14">
        <v>2</v>
      </c>
      <c r="E42" s="14"/>
      <c r="F42" s="14">
        <v>1.1819999999999999</v>
      </c>
      <c r="G42" s="14">
        <v>1</v>
      </c>
      <c r="H42" s="14">
        <v>1.1819999999999999</v>
      </c>
      <c r="I42" s="14">
        <v>0.59099999999999997</v>
      </c>
      <c r="J42" s="14">
        <v>1.708</v>
      </c>
      <c r="K42" s="14"/>
      <c r="L42" s="14"/>
      <c r="M42" s="14"/>
    </row>
    <row r="43" spans="1:13" x14ac:dyDescent="0.25">
      <c r="A43" s="15">
        <v>93</v>
      </c>
      <c r="B43" s="14" t="s">
        <v>17</v>
      </c>
      <c r="C43" s="14" t="s">
        <v>95</v>
      </c>
      <c r="D43" s="14">
        <v>3</v>
      </c>
      <c r="E43" s="14"/>
      <c r="F43" s="14">
        <v>1.0449999999999999</v>
      </c>
      <c r="G43" s="14">
        <v>1</v>
      </c>
      <c r="H43" s="14">
        <v>1.0449999999999999</v>
      </c>
      <c r="I43" s="14">
        <v>0.52300000000000002</v>
      </c>
      <c r="J43" s="14">
        <v>1.708</v>
      </c>
      <c r="K43" s="14"/>
      <c r="L43" s="14"/>
      <c r="M43" s="14"/>
    </row>
    <row r="44" spans="1:13" x14ac:dyDescent="0.25">
      <c r="A44" s="15">
        <v>75</v>
      </c>
      <c r="B44" s="14" t="s">
        <v>18</v>
      </c>
      <c r="C44" s="14" t="s">
        <v>97</v>
      </c>
      <c r="D44" s="14">
        <v>1</v>
      </c>
      <c r="E44" s="14"/>
      <c r="F44" s="14">
        <v>1.095</v>
      </c>
      <c r="G44" s="14">
        <v>1</v>
      </c>
      <c r="H44" s="14">
        <v>1.095</v>
      </c>
      <c r="I44" s="14">
        <v>0.54800000000000004</v>
      </c>
      <c r="J44" s="14">
        <v>1.083</v>
      </c>
      <c r="K44" s="14"/>
      <c r="L44" s="14"/>
      <c r="M44" s="14"/>
    </row>
    <row r="45" spans="1:13" x14ac:dyDescent="0.25">
      <c r="A45" s="15">
        <v>75</v>
      </c>
      <c r="B45" s="14" t="s">
        <v>18</v>
      </c>
      <c r="C45" s="14" t="s">
        <v>97</v>
      </c>
      <c r="D45" s="14">
        <v>2</v>
      </c>
      <c r="E45" s="14"/>
      <c r="F45" s="14">
        <v>1.069</v>
      </c>
      <c r="G45" s="14">
        <v>1</v>
      </c>
      <c r="H45" s="14">
        <v>1.069</v>
      </c>
      <c r="I45" s="14">
        <v>0.53500000000000003</v>
      </c>
      <c r="J45" s="14">
        <v>1.083</v>
      </c>
      <c r="K45" s="14"/>
      <c r="L45" s="14"/>
      <c r="M45" s="14"/>
    </row>
    <row r="46" spans="1:13" x14ac:dyDescent="0.25">
      <c r="A46" s="15">
        <v>352</v>
      </c>
      <c r="B46" s="14" t="s">
        <v>19</v>
      </c>
      <c r="C46" s="14" t="s">
        <v>99</v>
      </c>
      <c r="D46" s="14">
        <v>1</v>
      </c>
      <c r="E46" s="14"/>
      <c r="F46" s="14">
        <v>0.80600000000000005</v>
      </c>
      <c r="G46" s="14">
        <v>1</v>
      </c>
      <c r="H46" s="14">
        <v>0.96699999999999997</v>
      </c>
      <c r="I46" s="14">
        <v>0.67700000000000005</v>
      </c>
      <c r="J46" s="14">
        <v>0.67700000000000005</v>
      </c>
      <c r="K46" s="14"/>
      <c r="L46" s="14"/>
      <c r="M46" s="14"/>
    </row>
    <row r="47" spans="1:13" x14ac:dyDescent="0.25">
      <c r="A47" s="15">
        <v>216</v>
      </c>
      <c r="B47" s="14" t="s">
        <v>20</v>
      </c>
      <c r="C47" s="14" t="s">
        <v>101</v>
      </c>
      <c r="D47" s="14">
        <v>1</v>
      </c>
      <c r="E47" s="14"/>
      <c r="F47" s="14">
        <v>0.32100000000000001</v>
      </c>
      <c r="G47" s="14">
        <v>1</v>
      </c>
      <c r="H47" s="14">
        <v>0.32100000000000001</v>
      </c>
      <c r="I47" s="14">
        <v>0.22500000000000001</v>
      </c>
      <c r="J47" s="14">
        <v>0.22500000000000001</v>
      </c>
      <c r="K47" s="14"/>
      <c r="L47" s="14"/>
      <c r="M47" s="14"/>
    </row>
    <row r="48" spans="1:13" x14ac:dyDescent="0.25">
      <c r="A48" s="15">
        <v>258</v>
      </c>
      <c r="B48" s="14" t="s">
        <v>21</v>
      </c>
      <c r="C48" s="14" t="s">
        <v>103</v>
      </c>
      <c r="D48" s="14">
        <v>1</v>
      </c>
      <c r="E48" s="14"/>
      <c r="F48" s="14">
        <v>0.13100000000000001</v>
      </c>
      <c r="G48" s="14">
        <v>1</v>
      </c>
      <c r="H48" s="14">
        <v>0.13100000000000001</v>
      </c>
      <c r="I48" s="14">
        <v>6.6000000000000003E-2</v>
      </c>
      <c r="J48" s="14">
        <v>0.154</v>
      </c>
      <c r="K48" s="14"/>
      <c r="L48" s="14"/>
      <c r="M48" s="14"/>
    </row>
    <row r="49" spans="1:14" x14ac:dyDescent="0.25">
      <c r="A49" s="15">
        <v>258</v>
      </c>
      <c r="B49" s="14" t="s">
        <v>21</v>
      </c>
      <c r="C49" s="14" t="s">
        <v>103</v>
      </c>
      <c r="D49" s="14">
        <v>2</v>
      </c>
      <c r="E49" s="14"/>
      <c r="F49" s="14">
        <v>7.4999999999999997E-2</v>
      </c>
      <c r="G49" s="14">
        <v>1</v>
      </c>
      <c r="H49" s="14">
        <v>7.4999999999999997E-2</v>
      </c>
      <c r="I49" s="14">
        <v>3.7999999999999999E-2</v>
      </c>
      <c r="J49" s="14">
        <v>0.154</v>
      </c>
      <c r="K49" s="14"/>
      <c r="L49" s="14"/>
      <c r="M49" s="14"/>
    </row>
    <row r="50" spans="1:14" s="1" customFormat="1" x14ac:dyDescent="0.25">
      <c r="A50" s="4">
        <v>258</v>
      </c>
      <c r="B50" s="22" t="s">
        <v>21</v>
      </c>
      <c r="C50" s="22" t="s">
        <v>103</v>
      </c>
      <c r="D50" s="22">
        <v>3</v>
      </c>
      <c r="E50" s="22"/>
      <c r="F50" s="22">
        <v>7.0999999999999994E-2</v>
      </c>
      <c r="G50" s="22">
        <v>1</v>
      </c>
      <c r="H50" s="22">
        <v>7.0999999999999994E-2</v>
      </c>
      <c r="I50" s="22">
        <v>3.5999999999999997E-2</v>
      </c>
      <c r="J50" s="22">
        <v>0.154</v>
      </c>
      <c r="K50" s="22"/>
      <c r="L50" s="22"/>
      <c r="M50" s="22"/>
    </row>
    <row r="51" spans="1:14" x14ac:dyDescent="0.25">
      <c r="A51" s="15">
        <v>258</v>
      </c>
      <c r="B51" s="14" t="s">
        <v>21</v>
      </c>
      <c r="C51" s="14" t="s">
        <v>103</v>
      </c>
      <c r="D51" s="14">
        <v>4</v>
      </c>
      <c r="E51" s="14"/>
      <c r="F51" s="14">
        <v>2.8000000000000001E-2</v>
      </c>
      <c r="G51" s="14">
        <v>1</v>
      </c>
      <c r="H51" s="14">
        <v>2.8000000000000001E-2</v>
      </c>
      <c r="I51" s="14">
        <v>1.4E-2</v>
      </c>
      <c r="J51" s="14">
        <v>0.154</v>
      </c>
      <c r="K51" s="14"/>
      <c r="L51" s="14"/>
      <c r="M51" s="14"/>
    </row>
    <row r="52" spans="1:14" x14ac:dyDescent="0.25">
      <c r="A52" s="15">
        <v>86</v>
      </c>
      <c r="B52" s="14" t="s">
        <v>22</v>
      </c>
      <c r="C52" s="14" t="s">
        <v>105</v>
      </c>
      <c r="D52" s="14">
        <v>1</v>
      </c>
      <c r="E52" s="14"/>
      <c r="F52" s="14">
        <v>194.29900000000001</v>
      </c>
      <c r="G52" s="14">
        <v>0.75</v>
      </c>
      <c r="H52" s="14">
        <v>440.411</v>
      </c>
      <c r="I52" s="14">
        <v>440.411</v>
      </c>
      <c r="J52" s="14">
        <v>508.33199999999999</v>
      </c>
      <c r="K52" s="14"/>
      <c r="L52" s="14"/>
      <c r="M52" s="14"/>
    </row>
    <row r="53" spans="1:14" x14ac:dyDescent="0.25">
      <c r="A53" s="15">
        <v>86</v>
      </c>
      <c r="B53" s="14" t="s">
        <v>22</v>
      </c>
      <c r="C53" s="14" t="s">
        <v>105</v>
      </c>
      <c r="D53" s="14">
        <v>2</v>
      </c>
      <c r="E53" s="14"/>
      <c r="F53" s="14">
        <v>29.965</v>
      </c>
      <c r="G53" s="14">
        <v>0.75</v>
      </c>
      <c r="H53" s="14">
        <v>67.921000000000006</v>
      </c>
      <c r="I53" s="14">
        <v>67.921000000000006</v>
      </c>
      <c r="J53" s="14">
        <v>508.33199999999999</v>
      </c>
      <c r="K53" s="14"/>
      <c r="L53" s="14"/>
      <c r="M53" s="14"/>
    </row>
    <row r="54" spans="1:14" x14ac:dyDescent="0.25">
      <c r="A54" s="15">
        <v>401</v>
      </c>
      <c r="B54" s="14" t="s">
        <v>23</v>
      </c>
      <c r="C54" s="14" t="s">
        <v>106</v>
      </c>
      <c r="D54" s="14">
        <v>1</v>
      </c>
      <c r="E54" s="14"/>
      <c r="F54" s="14">
        <v>0.82</v>
      </c>
      <c r="G54" s="14">
        <v>0.5</v>
      </c>
      <c r="H54" s="14">
        <v>2.23</v>
      </c>
      <c r="I54" s="14">
        <v>2.23</v>
      </c>
      <c r="J54" s="14">
        <v>121.31699999999999</v>
      </c>
      <c r="K54" s="14"/>
      <c r="L54" s="14"/>
      <c r="M54" s="14"/>
    </row>
    <row r="55" spans="1:14" x14ac:dyDescent="0.25">
      <c r="A55" s="15">
        <v>401</v>
      </c>
      <c r="B55" s="14" t="s">
        <v>23</v>
      </c>
      <c r="C55" s="14" t="s">
        <v>106</v>
      </c>
      <c r="D55" s="14">
        <v>2</v>
      </c>
      <c r="E55" s="14"/>
      <c r="F55" s="14">
        <v>11.259</v>
      </c>
      <c r="G55" s="14">
        <v>0.5</v>
      </c>
      <c r="H55" s="14">
        <v>22.518000000000001</v>
      </c>
      <c r="I55" s="14">
        <v>22.518000000000001</v>
      </c>
      <c r="J55" s="14">
        <v>121.31699999999999</v>
      </c>
      <c r="K55" s="14"/>
      <c r="L55" s="14"/>
      <c r="M55" s="14"/>
    </row>
    <row r="56" spans="1:14" x14ac:dyDescent="0.25">
      <c r="A56" s="15">
        <v>401</v>
      </c>
      <c r="B56" s="14" t="s">
        <v>23</v>
      </c>
      <c r="C56" s="14" t="s">
        <v>106</v>
      </c>
      <c r="D56" s="14">
        <v>3</v>
      </c>
      <c r="E56" s="14"/>
      <c r="F56" s="14">
        <v>26.53</v>
      </c>
      <c r="G56" s="14">
        <v>0.5</v>
      </c>
      <c r="H56" s="14">
        <v>96.569000000000003</v>
      </c>
      <c r="I56" s="14">
        <v>96.569000000000003</v>
      </c>
      <c r="J56" s="14">
        <v>121.31699999999999</v>
      </c>
      <c r="K56" s="14"/>
      <c r="L56" s="14"/>
      <c r="M56" s="14"/>
    </row>
    <row r="57" spans="1:14" x14ac:dyDescent="0.25">
      <c r="A57" s="15">
        <v>38</v>
      </c>
      <c r="B57" s="22" t="s">
        <v>133</v>
      </c>
      <c r="C57" s="14" t="s">
        <v>135</v>
      </c>
      <c r="D57" s="14">
        <v>1</v>
      </c>
      <c r="E57" s="14"/>
      <c r="F57" s="14">
        <v>2.992</v>
      </c>
      <c r="G57" s="14">
        <v>0.5</v>
      </c>
      <c r="H57" s="14">
        <v>5.984</v>
      </c>
      <c r="I57" s="14">
        <v>5.984</v>
      </c>
      <c r="J57" s="14">
        <v>8.3840000000000003</v>
      </c>
      <c r="K57" s="14"/>
      <c r="L57" s="14"/>
      <c r="M57" s="22" t="s">
        <v>24</v>
      </c>
    </row>
    <row r="58" spans="1:14" x14ac:dyDescent="0.25">
      <c r="A58" s="15">
        <v>38</v>
      </c>
      <c r="B58" s="22" t="s">
        <v>133</v>
      </c>
      <c r="C58" s="14" t="s">
        <v>135</v>
      </c>
      <c r="D58" s="14">
        <v>2</v>
      </c>
      <c r="E58" s="14"/>
      <c r="F58" s="14">
        <v>1.1970000000000001</v>
      </c>
      <c r="G58" s="14">
        <v>1</v>
      </c>
      <c r="H58" s="14">
        <v>1.1970000000000001</v>
      </c>
      <c r="I58" s="14">
        <v>1.1970000000000001</v>
      </c>
      <c r="J58" s="14">
        <v>8.3840000000000003</v>
      </c>
      <c r="K58" s="14"/>
      <c r="L58" s="14"/>
      <c r="M58" s="22"/>
      <c r="N58" s="1"/>
    </row>
    <row r="59" spans="1:14" x14ac:dyDescent="0.25">
      <c r="A59" s="15">
        <v>38</v>
      </c>
      <c r="B59" s="22" t="s">
        <v>133</v>
      </c>
      <c r="C59" s="14" t="s">
        <v>135</v>
      </c>
      <c r="D59" s="14">
        <v>3</v>
      </c>
      <c r="E59" s="14"/>
      <c r="F59" s="14">
        <v>0.152</v>
      </c>
      <c r="G59" s="14">
        <v>1</v>
      </c>
      <c r="H59" s="14">
        <v>0.152</v>
      </c>
      <c r="I59" s="14">
        <v>0.152</v>
      </c>
      <c r="J59" s="14">
        <v>8.3840000000000003</v>
      </c>
      <c r="K59" s="14"/>
      <c r="L59" s="14"/>
      <c r="M59" s="22"/>
      <c r="N59" s="1"/>
    </row>
    <row r="60" spans="1:14" s="1" customFormat="1" x14ac:dyDescent="0.25">
      <c r="A60" s="4">
        <v>38</v>
      </c>
      <c r="B60" s="22" t="s">
        <v>133</v>
      </c>
      <c r="C60" s="22" t="s">
        <v>135</v>
      </c>
      <c r="D60" s="22">
        <v>4</v>
      </c>
      <c r="E60" s="22"/>
      <c r="F60" s="22">
        <v>1.0509999999999999</v>
      </c>
      <c r="G60" s="22">
        <v>1</v>
      </c>
      <c r="H60" s="22">
        <v>1.0509999999999999</v>
      </c>
      <c r="I60" s="22">
        <v>1.0509999999999999</v>
      </c>
      <c r="J60" s="22">
        <v>8.3840000000000003</v>
      </c>
      <c r="K60" s="22"/>
      <c r="L60" s="22"/>
      <c r="M60" s="22"/>
    </row>
    <row r="61" spans="1:14" x14ac:dyDescent="0.25">
      <c r="A61" s="15">
        <v>103</v>
      </c>
      <c r="B61" s="22" t="s">
        <v>134</v>
      </c>
      <c r="C61" s="14" t="s">
        <v>137</v>
      </c>
      <c r="D61" s="14">
        <v>1</v>
      </c>
      <c r="E61" s="14"/>
      <c r="F61" s="14">
        <v>0.34499999999999997</v>
      </c>
      <c r="G61" s="14">
        <v>1</v>
      </c>
      <c r="H61" s="14">
        <v>0.34499999999999997</v>
      </c>
      <c r="I61" s="14">
        <v>0.17299999999999999</v>
      </c>
      <c r="J61" s="14">
        <v>0.17299999999999999</v>
      </c>
      <c r="K61" s="14"/>
      <c r="L61" s="14"/>
      <c r="M61" s="22" t="s">
        <v>25</v>
      </c>
    </row>
    <row r="62" spans="1:14" x14ac:dyDescent="0.25">
      <c r="A62" s="15">
        <v>350</v>
      </c>
      <c r="B62" s="14" t="s">
        <v>26</v>
      </c>
      <c r="C62" s="14" t="s">
        <v>108</v>
      </c>
      <c r="D62" s="14">
        <v>1</v>
      </c>
      <c r="E62" s="14"/>
      <c r="F62" s="14">
        <v>0.34100000000000003</v>
      </c>
      <c r="G62" s="14">
        <v>1</v>
      </c>
      <c r="H62" s="14">
        <v>0.34100000000000003</v>
      </c>
      <c r="I62" s="14">
        <v>0.34100000000000003</v>
      </c>
      <c r="J62" s="14">
        <v>0.34100000000000003</v>
      </c>
      <c r="K62" s="14"/>
      <c r="L62" s="14"/>
      <c r="M62" s="14"/>
    </row>
    <row r="63" spans="1:14" x14ac:dyDescent="0.25">
      <c r="A63" s="15">
        <v>266</v>
      </c>
      <c r="B63" s="14" t="s">
        <v>27</v>
      </c>
      <c r="C63" s="14" t="s">
        <v>110</v>
      </c>
      <c r="D63" s="14">
        <v>1</v>
      </c>
      <c r="E63" s="14"/>
      <c r="F63" s="14">
        <v>15.379</v>
      </c>
      <c r="G63" s="14">
        <v>0.75</v>
      </c>
      <c r="H63" s="14">
        <v>40.600999999999999</v>
      </c>
      <c r="I63" s="14">
        <v>39.421999999999997</v>
      </c>
      <c r="J63" s="14">
        <v>85.513999999999996</v>
      </c>
      <c r="K63" s="14"/>
      <c r="L63" s="14"/>
      <c r="M63" s="14"/>
    </row>
    <row r="64" spans="1:14" x14ac:dyDescent="0.25">
      <c r="A64" s="15">
        <v>266</v>
      </c>
      <c r="B64" s="14" t="s">
        <v>27</v>
      </c>
      <c r="C64" s="14" t="s">
        <v>110</v>
      </c>
      <c r="D64" s="14">
        <v>2</v>
      </c>
      <c r="E64" s="14"/>
      <c r="F64" s="14">
        <v>17.744</v>
      </c>
      <c r="G64" s="14">
        <v>0.75</v>
      </c>
      <c r="H64" s="14">
        <v>46.844000000000001</v>
      </c>
      <c r="I64" s="14">
        <v>45.408000000000001</v>
      </c>
      <c r="J64" s="14">
        <v>85.513999999999996</v>
      </c>
      <c r="K64" s="14"/>
      <c r="L64" s="14"/>
      <c r="M64" s="14"/>
    </row>
    <row r="65" spans="1:13" x14ac:dyDescent="0.25">
      <c r="A65" s="15">
        <v>266</v>
      </c>
      <c r="B65" s="14" t="s">
        <v>27</v>
      </c>
      <c r="C65" s="14" t="s">
        <v>110</v>
      </c>
      <c r="D65" s="14">
        <v>3</v>
      </c>
      <c r="E65" s="14"/>
      <c r="F65" s="14">
        <v>0.33500000000000002</v>
      </c>
      <c r="G65" s="14">
        <v>1</v>
      </c>
      <c r="H65" s="14">
        <v>0.69699999999999995</v>
      </c>
      <c r="I65" s="14">
        <v>0.68400000000000005</v>
      </c>
      <c r="J65" s="14">
        <v>85.513999999999996</v>
      </c>
      <c r="K65" s="14"/>
      <c r="L65" s="14"/>
      <c r="M65" s="14"/>
    </row>
    <row r="66" spans="1:13" x14ac:dyDescent="0.25">
      <c r="A66" s="15">
        <v>40</v>
      </c>
      <c r="B66" s="14" t="s">
        <v>28</v>
      </c>
      <c r="C66" s="14" t="s">
        <v>112</v>
      </c>
      <c r="D66" s="14">
        <v>1</v>
      </c>
      <c r="E66" s="14"/>
      <c r="F66" s="14">
        <v>1.3540000000000001</v>
      </c>
      <c r="G66" s="14">
        <v>1</v>
      </c>
      <c r="H66" s="14">
        <v>1.3540000000000001</v>
      </c>
      <c r="I66" s="14">
        <v>1.3540000000000001</v>
      </c>
      <c r="J66" s="14">
        <v>8.4710000000000001</v>
      </c>
      <c r="K66" s="14"/>
      <c r="L66" s="14"/>
      <c r="M66" s="14"/>
    </row>
    <row r="67" spans="1:13" x14ac:dyDescent="0.25">
      <c r="A67" s="15">
        <v>40</v>
      </c>
      <c r="B67" s="14" t="s">
        <v>28</v>
      </c>
      <c r="C67" s="14" t="s">
        <v>112</v>
      </c>
      <c r="D67" s="14">
        <v>2</v>
      </c>
      <c r="E67" s="14"/>
      <c r="F67" s="14">
        <v>1.3169999999999999</v>
      </c>
      <c r="G67" s="14">
        <v>1</v>
      </c>
      <c r="H67" s="14">
        <v>1.3169999999999999</v>
      </c>
      <c r="I67" s="14">
        <v>1.3169999999999999</v>
      </c>
      <c r="J67" s="14">
        <v>8.4710000000000001</v>
      </c>
      <c r="K67" s="14"/>
      <c r="L67" s="14"/>
      <c r="M67" s="14"/>
    </row>
    <row r="68" spans="1:13" x14ac:dyDescent="0.25">
      <c r="A68" s="15">
        <v>40</v>
      </c>
      <c r="B68" s="14" t="s">
        <v>28</v>
      </c>
      <c r="C68" s="14" t="s">
        <v>112</v>
      </c>
      <c r="D68" s="14">
        <v>3</v>
      </c>
      <c r="E68" s="14"/>
      <c r="F68" s="14">
        <v>1.214</v>
      </c>
      <c r="G68" s="14">
        <v>1</v>
      </c>
      <c r="H68" s="14">
        <v>1.214</v>
      </c>
      <c r="I68" s="14">
        <v>1.214</v>
      </c>
      <c r="J68" s="14">
        <v>8.4710000000000001</v>
      </c>
      <c r="K68" s="14"/>
      <c r="L68" s="14"/>
      <c r="M68" s="14"/>
    </row>
    <row r="69" spans="1:13" x14ac:dyDescent="0.25">
      <c r="A69" s="15">
        <v>40</v>
      </c>
      <c r="B69" s="14" t="s">
        <v>28</v>
      </c>
      <c r="C69" s="14" t="s">
        <v>112</v>
      </c>
      <c r="D69" s="14">
        <v>4</v>
      </c>
      <c r="E69" s="14"/>
      <c r="F69" s="14">
        <v>1.181</v>
      </c>
      <c r="G69" s="14">
        <v>1</v>
      </c>
      <c r="H69" s="14">
        <v>1.181</v>
      </c>
      <c r="I69" s="14">
        <v>1.181</v>
      </c>
      <c r="J69" s="14">
        <v>8.4710000000000001</v>
      </c>
      <c r="K69" s="14"/>
      <c r="L69" s="14"/>
      <c r="M69" s="14"/>
    </row>
    <row r="70" spans="1:13" s="1" customFormat="1" x14ac:dyDescent="0.25">
      <c r="A70" s="4">
        <v>40</v>
      </c>
      <c r="B70" s="22" t="s">
        <v>28</v>
      </c>
      <c r="C70" s="22" t="s">
        <v>112</v>
      </c>
      <c r="D70" s="22">
        <v>5</v>
      </c>
      <c r="E70" s="22"/>
      <c r="F70" s="22">
        <v>1.242</v>
      </c>
      <c r="G70" s="22">
        <v>1</v>
      </c>
      <c r="H70" s="22">
        <v>1.242</v>
      </c>
      <c r="I70" s="22">
        <v>1.242</v>
      </c>
      <c r="J70" s="22">
        <v>8.4710000000000001</v>
      </c>
      <c r="K70" s="22"/>
      <c r="L70" s="22"/>
      <c r="M70" s="22"/>
    </row>
    <row r="71" spans="1:13" x14ac:dyDescent="0.25">
      <c r="A71" s="15">
        <v>40</v>
      </c>
      <c r="B71" s="14" t="s">
        <v>28</v>
      </c>
      <c r="C71" s="14" t="s">
        <v>112</v>
      </c>
      <c r="D71" s="14">
        <v>6</v>
      </c>
      <c r="E71" s="14"/>
      <c r="F71" s="14">
        <v>1.175</v>
      </c>
      <c r="G71" s="14">
        <v>1</v>
      </c>
      <c r="H71" s="14">
        <v>1.175</v>
      </c>
      <c r="I71" s="14">
        <v>1.175</v>
      </c>
      <c r="J71" s="14">
        <v>8.4710000000000001</v>
      </c>
      <c r="K71" s="14"/>
      <c r="L71" s="14"/>
      <c r="M71" s="14"/>
    </row>
    <row r="72" spans="1:13" x14ac:dyDescent="0.25">
      <c r="A72" s="15">
        <v>40</v>
      </c>
      <c r="B72" s="14" t="s">
        <v>28</v>
      </c>
      <c r="C72" s="14" t="s">
        <v>112</v>
      </c>
      <c r="D72" s="14">
        <v>7</v>
      </c>
      <c r="E72" s="14"/>
      <c r="F72" s="14">
        <v>0.53800000000000003</v>
      </c>
      <c r="G72" s="14">
        <v>1</v>
      </c>
      <c r="H72" s="14">
        <v>0.53800000000000003</v>
      </c>
      <c r="I72" s="14">
        <v>0.53800000000000003</v>
      </c>
      <c r="J72" s="14">
        <v>8.4710000000000001</v>
      </c>
      <c r="K72" s="14"/>
      <c r="L72" s="14"/>
      <c r="M72" s="14"/>
    </row>
    <row r="73" spans="1:13" x14ac:dyDescent="0.25">
      <c r="A73" s="15">
        <v>40</v>
      </c>
      <c r="B73" s="14" t="s">
        <v>28</v>
      </c>
      <c r="C73" s="14" t="s">
        <v>112</v>
      </c>
      <c r="D73" s="14">
        <v>8</v>
      </c>
      <c r="E73" s="14"/>
      <c r="F73" s="14">
        <v>0.45</v>
      </c>
      <c r="G73" s="14">
        <v>1</v>
      </c>
      <c r="H73" s="14">
        <v>0.45</v>
      </c>
      <c r="I73" s="14">
        <v>0.45</v>
      </c>
      <c r="J73" s="14">
        <v>8.4710000000000001</v>
      </c>
      <c r="K73" s="14"/>
      <c r="L73" s="14"/>
      <c r="M73" s="14"/>
    </row>
    <row r="74" spans="1:13" x14ac:dyDescent="0.25">
      <c r="A74" s="15">
        <v>294</v>
      </c>
      <c r="B74" s="14" t="s">
        <v>29</v>
      </c>
      <c r="C74" s="14" t="s">
        <v>114</v>
      </c>
      <c r="D74" s="14">
        <v>1</v>
      </c>
      <c r="E74" s="14"/>
      <c r="F74" s="14">
        <v>131.60300000000001</v>
      </c>
      <c r="G74" s="14">
        <v>0.5</v>
      </c>
      <c r="H74" s="14">
        <v>394.80900000000003</v>
      </c>
      <c r="I74" s="14">
        <v>394.80900000000003</v>
      </c>
      <c r="J74" s="14">
        <v>598.61500000000001</v>
      </c>
      <c r="K74" s="14"/>
      <c r="L74" s="14"/>
      <c r="M74" s="14"/>
    </row>
    <row r="75" spans="1:13" x14ac:dyDescent="0.25">
      <c r="A75" s="15">
        <v>294</v>
      </c>
      <c r="B75" s="14" t="s">
        <v>29</v>
      </c>
      <c r="C75" s="14" t="s">
        <v>114</v>
      </c>
      <c r="D75" s="14">
        <v>2</v>
      </c>
      <c r="E75" s="14"/>
      <c r="F75" s="14">
        <v>8.0350000000000001</v>
      </c>
      <c r="G75" s="14">
        <v>0.5</v>
      </c>
      <c r="H75" s="14">
        <v>30.853999999999999</v>
      </c>
      <c r="I75" s="14">
        <v>21.597999999999999</v>
      </c>
      <c r="J75" s="14">
        <v>598.61500000000001</v>
      </c>
      <c r="K75" s="14"/>
      <c r="L75" s="14"/>
      <c r="M75" s="14"/>
    </row>
    <row r="76" spans="1:13" x14ac:dyDescent="0.25">
      <c r="A76" s="15">
        <v>294</v>
      </c>
      <c r="B76" s="14" t="s">
        <v>29</v>
      </c>
      <c r="C76" s="14" t="s">
        <v>114</v>
      </c>
      <c r="D76" s="14">
        <v>3</v>
      </c>
      <c r="E76" s="14"/>
      <c r="F76" s="14">
        <v>29.013999999999999</v>
      </c>
      <c r="G76" s="14">
        <v>0.5</v>
      </c>
      <c r="H76" s="14">
        <v>89.363</v>
      </c>
      <c r="I76" s="14">
        <v>89.363</v>
      </c>
      <c r="J76" s="14">
        <v>598.61500000000001</v>
      </c>
      <c r="K76" s="14"/>
      <c r="L76" s="14"/>
      <c r="M76" s="14"/>
    </row>
    <row r="77" spans="1:13" x14ac:dyDescent="0.25">
      <c r="A77" s="15">
        <v>294</v>
      </c>
      <c r="B77" s="14" t="s">
        <v>29</v>
      </c>
      <c r="C77" s="14" t="s">
        <v>114</v>
      </c>
      <c r="D77" s="14">
        <v>4</v>
      </c>
      <c r="E77" s="14"/>
      <c r="F77" s="14">
        <v>29.013999999999999</v>
      </c>
      <c r="G77" s="14">
        <v>0.5</v>
      </c>
      <c r="H77" s="14">
        <v>92.844999999999999</v>
      </c>
      <c r="I77" s="14">
        <v>92.844999999999999</v>
      </c>
      <c r="J77" s="14">
        <v>598.61500000000001</v>
      </c>
      <c r="K77" s="14"/>
      <c r="L77" s="14"/>
      <c r="M77" s="14"/>
    </row>
    <row r="78" spans="1:13" x14ac:dyDescent="0.25">
      <c r="A78" s="15">
        <v>286</v>
      </c>
      <c r="B78" s="14" t="s">
        <v>30</v>
      </c>
      <c r="C78" s="14" t="s">
        <v>116</v>
      </c>
      <c r="D78" s="14">
        <v>1</v>
      </c>
      <c r="E78" s="14"/>
      <c r="F78" s="14">
        <v>4.9930000000000003</v>
      </c>
      <c r="G78" s="14">
        <v>0.5</v>
      </c>
      <c r="H78" s="14">
        <v>9.9860000000000007</v>
      </c>
      <c r="I78" s="14">
        <v>9.9860000000000007</v>
      </c>
      <c r="J78" s="14">
        <v>363.63799999999998</v>
      </c>
      <c r="K78" s="14"/>
      <c r="L78" s="14"/>
      <c r="M78" s="14"/>
    </row>
    <row r="79" spans="1:13" x14ac:dyDescent="0.25">
      <c r="A79" s="15">
        <v>286</v>
      </c>
      <c r="B79" s="14" t="s">
        <v>30</v>
      </c>
      <c r="C79" s="14" t="s">
        <v>116</v>
      </c>
      <c r="D79" s="14">
        <v>4</v>
      </c>
      <c r="E79" s="14"/>
      <c r="F79" s="14">
        <v>0.121</v>
      </c>
      <c r="G79" s="14">
        <v>1</v>
      </c>
      <c r="H79" s="14">
        <v>0.121</v>
      </c>
      <c r="I79" s="14">
        <v>0.121</v>
      </c>
      <c r="J79" s="14">
        <v>363.63799999999998</v>
      </c>
      <c r="K79" s="14"/>
      <c r="L79" s="14"/>
      <c r="M79" s="14"/>
    </row>
    <row r="80" spans="1:13" s="1" customFormat="1" x14ac:dyDescent="0.25">
      <c r="A80" s="4">
        <v>286</v>
      </c>
      <c r="B80" s="22" t="s">
        <v>30</v>
      </c>
      <c r="C80" s="22" t="s">
        <v>116</v>
      </c>
      <c r="D80" s="22">
        <v>5</v>
      </c>
      <c r="E80" s="22"/>
      <c r="F80" s="22">
        <v>0.81100000000000005</v>
      </c>
      <c r="G80" s="22">
        <v>1</v>
      </c>
      <c r="H80" s="22">
        <v>0.81100000000000005</v>
      </c>
      <c r="I80" s="22">
        <v>1.6220000000000001</v>
      </c>
      <c r="J80" s="22">
        <v>363.63799999999998</v>
      </c>
      <c r="K80" s="22"/>
      <c r="L80" s="22"/>
      <c r="M80" s="22" t="s">
        <v>139</v>
      </c>
    </row>
    <row r="81" spans="1:13" x14ac:dyDescent="0.25">
      <c r="A81" s="15">
        <v>286</v>
      </c>
      <c r="B81" s="14" t="s">
        <v>30</v>
      </c>
      <c r="C81" s="14" t="s">
        <v>116</v>
      </c>
      <c r="D81" s="14">
        <v>9</v>
      </c>
      <c r="E81" s="14"/>
      <c r="F81" s="14">
        <v>7.0979999999999999</v>
      </c>
      <c r="G81" s="14">
        <v>0.5</v>
      </c>
      <c r="H81" s="14">
        <v>27.54</v>
      </c>
      <c r="I81" s="14">
        <v>27.54</v>
      </c>
      <c r="J81" s="14">
        <v>363.63799999999998</v>
      </c>
      <c r="K81" s="14"/>
      <c r="L81" s="14"/>
      <c r="M81" s="14"/>
    </row>
    <row r="82" spans="1:13" x14ac:dyDescent="0.25">
      <c r="A82" s="15">
        <v>286</v>
      </c>
      <c r="B82" s="14" t="s">
        <v>30</v>
      </c>
      <c r="C82" s="14" t="s">
        <v>116</v>
      </c>
      <c r="D82" s="14">
        <v>10</v>
      </c>
      <c r="E82" s="14"/>
      <c r="F82" s="14">
        <v>6.3929999999999998</v>
      </c>
      <c r="G82" s="14">
        <v>1</v>
      </c>
      <c r="H82" s="14">
        <v>6.3929999999999998</v>
      </c>
      <c r="I82" s="14">
        <v>6.3929999999999998</v>
      </c>
      <c r="J82" s="14">
        <v>363.63799999999998</v>
      </c>
      <c r="K82" s="14"/>
      <c r="L82" s="14"/>
      <c r="M82" s="14"/>
    </row>
    <row r="83" spans="1:13" x14ac:dyDescent="0.25">
      <c r="A83" s="15">
        <v>286</v>
      </c>
      <c r="B83" s="14" t="s">
        <v>30</v>
      </c>
      <c r="C83" s="14" t="s">
        <v>116</v>
      </c>
      <c r="D83" s="14">
        <v>13</v>
      </c>
      <c r="E83" s="14"/>
      <c r="F83" s="14">
        <v>126.21299999999999</v>
      </c>
      <c r="G83" s="14">
        <v>0.5</v>
      </c>
      <c r="H83" s="14">
        <v>252.42599999999999</v>
      </c>
      <c r="I83" s="14">
        <v>252.42599999999999</v>
      </c>
      <c r="J83" s="14">
        <v>363.63799999999998</v>
      </c>
      <c r="K83" s="14"/>
      <c r="L83" s="14"/>
      <c r="M83" s="14"/>
    </row>
    <row r="84" spans="1:13" x14ac:dyDescent="0.25">
      <c r="A84" s="15">
        <v>286</v>
      </c>
      <c r="B84" s="14" t="s">
        <v>30</v>
      </c>
      <c r="C84" s="14" t="s">
        <v>116</v>
      </c>
      <c r="D84" s="14">
        <v>15</v>
      </c>
      <c r="E84" s="14"/>
      <c r="F84" s="14">
        <v>0.54200000000000004</v>
      </c>
      <c r="G84" s="14">
        <v>0.5</v>
      </c>
      <c r="H84" s="14">
        <v>1.0840000000000001</v>
      </c>
      <c r="I84" s="14">
        <v>1.0840000000000001</v>
      </c>
      <c r="J84" s="14">
        <v>363.63799999999998</v>
      </c>
      <c r="K84" s="14"/>
      <c r="L84" s="14"/>
      <c r="M84" s="14"/>
    </row>
    <row r="85" spans="1:13" x14ac:dyDescent="0.25">
      <c r="A85" s="15">
        <v>286</v>
      </c>
      <c r="B85" s="14" t="s">
        <v>30</v>
      </c>
      <c r="C85" s="14" t="s">
        <v>116</v>
      </c>
      <c r="D85" s="14">
        <v>16</v>
      </c>
      <c r="E85" s="14"/>
      <c r="F85" s="14">
        <v>1.538</v>
      </c>
      <c r="G85" s="14">
        <v>1</v>
      </c>
      <c r="H85" s="14">
        <v>1.538</v>
      </c>
      <c r="I85" s="14">
        <v>1.538</v>
      </c>
      <c r="J85" s="14">
        <v>363.63799999999998</v>
      </c>
      <c r="K85" s="14"/>
      <c r="L85" s="14"/>
      <c r="M85" s="14"/>
    </row>
    <row r="86" spans="1:13" x14ac:dyDescent="0.25">
      <c r="A86" s="15">
        <v>286</v>
      </c>
      <c r="B86" s="14" t="s">
        <v>30</v>
      </c>
      <c r="C86" s="14" t="s">
        <v>116</v>
      </c>
      <c r="D86" s="14">
        <v>17</v>
      </c>
      <c r="E86" s="14"/>
      <c r="F86" s="14">
        <v>15.779</v>
      </c>
      <c r="G86" s="14">
        <v>0.5</v>
      </c>
      <c r="H86" s="14">
        <v>61.853999999999999</v>
      </c>
      <c r="I86" s="14">
        <v>61.853999999999999</v>
      </c>
      <c r="J86" s="14">
        <v>363.63799999999998</v>
      </c>
      <c r="K86" s="14"/>
      <c r="L86" s="14"/>
      <c r="M86" s="14"/>
    </row>
    <row r="87" spans="1:13" x14ac:dyDescent="0.25">
      <c r="A87" s="15">
        <v>286</v>
      </c>
      <c r="B87" s="14" t="s">
        <v>30</v>
      </c>
      <c r="C87" s="14" t="s">
        <v>116</v>
      </c>
      <c r="D87" s="14">
        <v>18</v>
      </c>
      <c r="E87" s="14"/>
      <c r="F87" s="14">
        <v>1.0740000000000001</v>
      </c>
      <c r="G87" s="14">
        <v>1</v>
      </c>
      <c r="H87" s="14">
        <v>1.0740000000000001</v>
      </c>
      <c r="I87" s="14">
        <v>1.0740000000000001</v>
      </c>
      <c r="J87" s="14">
        <v>363.63799999999998</v>
      </c>
      <c r="K87" s="14"/>
      <c r="L87" s="14"/>
      <c r="M87" s="14"/>
    </row>
    <row r="88" spans="1:13" x14ac:dyDescent="0.25">
      <c r="A88" s="15">
        <v>257</v>
      </c>
      <c r="B88" s="14" t="s">
        <v>31</v>
      </c>
      <c r="C88" s="14" t="s">
        <v>118</v>
      </c>
      <c r="D88" s="14">
        <v>1</v>
      </c>
      <c r="E88" s="14"/>
      <c r="F88" s="14">
        <v>8.7999999999999995E-2</v>
      </c>
      <c r="G88" s="14">
        <v>0.5</v>
      </c>
      <c r="H88" s="14">
        <v>0.17599999999999999</v>
      </c>
      <c r="I88" s="14">
        <v>0.17599999999999999</v>
      </c>
      <c r="J88" s="14">
        <v>0.17599999999999999</v>
      </c>
      <c r="K88" s="14"/>
      <c r="L88" s="14"/>
      <c r="M88" s="14"/>
    </row>
    <row r="89" spans="1:13" x14ac:dyDescent="0.25">
      <c r="A89" s="15">
        <v>212</v>
      </c>
      <c r="B89" s="14" t="s">
        <v>32</v>
      </c>
      <c r="C89" s="14" t="s">
        <v>120</v>
      </c>
      <c r="D89" s="14">
        <v>1</v>
      </c>
      <c r="E89" s="14"/>
      <c r="F89" s="14">
        <v>0.30099999999999999</v>
      </c>
      <c r="G89" s="14">
        <v>1</v>
      </c>
      <c r="H89" s="14">
        <v>0.30099999999999999</v>
      </c>
      <c r="I89" s="14">
        <v>0.151</v>
      </c>
      <c r="J89" s="14">
        <v>0.151</v>
      </c>
      <c r="K89" s="14"/>
      <c r="L89" s="14"/>
      <c r="M89" s="14"/>
    </row>
    <row r="90" spans="1:13" s="1" customFormat="1" x14ac:dyDescent="0.25">
      <c r="A90" s="4">
        <v>328</v>
      </c>
      <c r="B90" s="22" t="s">
        <v>33</v>
      </c>
      <c r="C90" s="22" t="s">
        <v>122</v>
      </c>
      <c r="D90" s="22">
        <v>1</v>
      </c>
      <c r="E90" s="22"/>
      <c r="F90" s="22">
        <v>62.134</v>
      </c>
      <c r="G90" s="22">
        <v>0.5</v>
      </c>
      <c r="H90" s="22">
        <v>236.10900000000001</v>
      </c>
      <c r="I90" s="22">
        <v>11.795</v>
      </c>
      <c r="J90" s="22">
        <v>26.094999999999999</v>
      </c>
      <c r="K90" s="22"/>
      <c r="L90" s="22"/>
      <c r="M90" s="22"/>
    </row>
    <row r="91" spans="1:13" x14ac:dyDescent="0.25">
      <c r="A91" s="15">
        <v>328</v>
      </c>
      <c r="B91" s="14" t="s">
        <v>33</v>
      </c>
      <c r="C91" s="14" t="s">
        <v>122</v>
      </c>
      <c r="D91" s="14">
        <v>2</v>
      </c>
      <c r="E91" s="14"/>
      <c r="F91" s="14">
        <v>9.7799999999999994</v>
      </c>
      <c r="G91" s="14">
        <v>0.5</v>
      </c>
      <c r="H91" s="14">
        <v>28.949000000000002</v>
      </c>
      <c r="I91" s="14">
        <v>1.4610000000000001</v>
      </c>
      <c r="J91" s="14">
        <v>26.094999999999999</v>
      </c>
      <c r="K91" s="14"/>
      <c r="L91" s="14"/>
      <c r="M91" s="14"/>
    </row>
    <row r="92" spans="1:13" x14ac:dyDescent="0.25">
      <c r="A92" s="15">
        <v>328</v>
      </c>
      <c r="B92" s="14" t="s">
        <v>33</v>
      </c>
      <c r="C92" s="14" t="s">
        <v>122</v>
      </c>
      <c r="D92" s="14">
        <v>3</v>
      </c>
      <c r="E92" s="14"/>
      <c r="F92" s="14">
        <v>67.632999999999996</v>
      </c>
      <c r="G92" s="14">
        <v>0.5</v>
      </c>
      <c r="H92" s="14">
        <v>257.005</v>
      </c>
      <c r="I92" s="14">
        <v>12.839</v>
      </c>
      <c r="J92" s="14">
        <v>26.094999999999999</v>
      </c>
      <c r="K92" s="14"/>
      <c r="L92" s="14"/>
      <c r="M92" s="14"/>
    </row>
    <row r="93" spans="1:13" x14ac:dyDescent="0.25">
      <c r="A93" s="15">
        <v>12</v>
      </c>
      <c r="B93" s="14" t="s">
        <v>34</v>
      </c>
      <c r="C93" s="14" t="s">
        <v>124</v>
      </c>
      <c r="D93" s="14">
        <v>1</v>
      </c>
      <c r="E93" s="14"/>
      <c r="F93" s="14">
        <v>0.54500000000000004</v>
      </c>
      <c r="G93" s="14">
        <v>1</v>
      </c>
      <c r="H93" s="14">
        <v>0.54500000000000004</v>
      </c>
      <c r="I93" s="14">
        <v>0.54500000000000004</v>
      </c>
      <c r="J93" s="14">
        <v>4.0469999999999997</v>
      </c>
      <c r="K93" s="14"/>
      <c r="L93" s="14"/>
      <c r="M93" s="14"/>
    </row>
    <row r="94" spans="1:13" x14ac:dyDescent="0.25">
      <c r="A94" s="15">
        <v>12</v>
      </c>
      <c r="B94" s="14" t="s">
        <v>34</v>
      </c>
      <c r="C94" s="14" t="s">
        <v>124</v>
      </c>
      <c r="D94" s="14">
        <v>2</v>
      </c>
      <c r="E94" s="14"/>
      <c r="F94" s="14">
        <v>0.32100000000000001</v>
      </c>
      <c r="G94" s="14">
        <v>1</v>
      </c>
      <c r="H94" s="14">
        <v>0.32100000000000001</v>
      </c>
      <c r="I94" s="14">
        <v>0.32100000000000001</v>
      </c>
      <c r="J94" s="14">
        <v>4.0469999999999997</v>
      </c>
      <c r="K94" s="14"/>
      <c r="L94" s="14"/>
      <c r="M94" s="14"/>
    </row>
    <row r="95" spans="1:13" x14ac:dyDescent="0.25">
      <c r="A95" s="15">
        <v>12</v>
      </c>
      <c r="B95" s="14" t="s">
        <v>34</v>
      </c>
      <c r="C95" s="14" t="s">
        <v>124</v>
      </c>
      <c r="D95" s="14">
        <v>3</v>
      </c>
      <c r="E95" s="14"/>
      <c r="F95" s="14">
        <v>0.307</v>
      </c>
      <c r="G95" s="14">
        <v>1</v>
      </c>
      <c r="H95" s="14">
        <v>0.307</v>
      </c>
      <c r="I95" s="14">
        <v>0.307</v>
      </c>
      <c r="J95" s="14">
        <v>4.0469999999999997</v>
      </c>
      <c r="K95" s="14"/>
      <c r="L95" s="14"/>
      <c r="M95" s="14"/>
    </row>
    <row r="96" spans="1:13" x14ac:dyDescent="0.25">
      <c r="A96" s="15">
        <v>12</v>
      </c>
      <c r="B96" s="14" t="s">
        <v>34</v>
      </c>
      <c r="C96" s="14" t="s">
        <v>124</v>
      </c>
      <c r="D96" s="14">
        <v>4</v>
      </c>
      <c r="E96" s="14"/>
      <c r="F96" s="14">
        <v>1.0760000000000001</v>
      </c>
      <c r="G96" s="14">
        <v>1</v>
      </c>
      <c r="H96" s="14">
        <v>1.0760000000000001</v>
      </c>
      <c r="I96" s="14">
        <v>1.0760000000000001</v>
      </c>
      <c r="J96" s="14">
        <v>4.0469999999999997</v>
      </c>
      <c r="K96" s="14"/>
      <c r="L96" s="14"/>
      <c r="M96" s="14"/>
    </row>
    <row r="97" spans="1:13" x14ac:dyDescent="0.25">
      <c r="A97" s="15">
        <v>12</v>
      </c>
      <c r="B97" s="14" t="s">
        <v>34</v>
      </c>
      <c r="C97" s="14" t="s">
        <v>124</v>
      </c>
      <c r="D97" s="14">
        <v>5</v>
      </c>
      <c r="E97" s="14"/>
      <c r="F97" s="14">
        <v>1.012</v>
      </c>
      <c r="G97" s="14">
        <v>1</v>
      </c>
      <c r="H97" s="14">
        <v>1.012</v>
      </c>
      <c r="I97" s="14">
        <v>1.012</v>
      </c>
      <c r="J97" s="14">
        <v>4.0469999999999997</v>
      </c>
      <c r="K97" s="14"/>
      <c r="L97" s="14"/>
      <c r="M97" s="14"/>
    </row>
    <row r="98" spans="1:13" x14ac:dyDescent="0.25">
      <c r="A98" s="15">
        <v>12</v>
      </c>
      <c r="B98" s="14" t="s">
        <v>34</v>
      </c>
      <c r="C98" s="14" t="s">
        <v>124</v>
      </c>
      <c r="D98" s="14">
        <v>6</v>
      </c>
      <c r="E98" s="14"/>
      <c r="F98" s="14">
        <v>0.78600000000000003</v>
      </c>
      <c r="G98" s="14">
        <v>1</v>
      </c>
      <c r="H98" s="14">
        <v>0.78600000000000003</v>
      </c>
      <c r="I98" s="14">
        <v>0.78600000000000003</v>
      </c>
      <c r="J98" s="14">
        <v>4.0469999999999997</v>
      </c>
      <c r="K98" s="14"/>
      <c r="L98" s="14"/>
      <c r="M98" s="14"/>
    </row>
    <row r="99" spans="1:13" x14ac:dyDescent="0.25">
      <c r="A99" s="15">
        <v>259</v>
      </c>
      <c r="B99" s="14" t="s">
        <v>35</v>
      </c>
      <c r="C99" s="14" t="s">
        <v>126</v>
      </c>
      <c r="D99" s="14">
        <v>1</v>
      </c>
      <c r="E99" s="14"/>
      <c r="F99" s="14">
        <v>0.41899999999999998</v>
      </c>
      <c r="G99" s="14">
        <v>0.75</v>
      </c>
      <c r="H99" s="14">
        <v>0.55900000000000005</v>
      </c>
      <c r="I99" s="14">
        <v>0.55900000000000005</v>
      </c>
      <c r="J99" s="14">
        <v>1.5720000000000001</v>
      </c>
      <c r="K99" s="14"/>
      <c r="L99" s="14"/>
      <c r="M99" s="14"/>
    </row>
    <row r="100" spans="1:13" s="1" customFormat="1" x14ac:dyDescent="0.25">
      <c r="A100" s="4">
        <v>259</v>
      </c>
      <c r="B100" s="22" t="s">
        <v>35</v>
      </c>
      <c r="C100" s="22" t="s">
        <v>126</v>
      </c>
      <c r="D100" s="22">
        <v>2</v>
      </c>
      <c r="E100" s="22"/>
      <c r="F100" s="22">
        <v>1.0129999999999999</v>
      </c>
      <c r="G100" s="22">
        <v>1</v>
      </c>
      <c r="H100" s="22">
        <v>1.0129999999999999</v>
      </c>
      <c r="I100" s="22">
        <v>1.0129999999999999</v>
      </c>
      <c r="J100" s="22">
        <v>1.5720000000000001</v>
      </c>
      <c r="K100" s="22"/>
      <c r="L100" s="22"/>
      <c r="M100" s="22"/>
    </row>
    <row r="101" spans="1:13" x14ac:dyDescent="0.25">
      <c r="A101" s="15">
        <v>14</v>
      </c>
      <c r="B101" s="14" t="s">
        <v>36</v>
      </c>
      <c r="C101" s="14" t="s">
        <v>48</v>
      </c>
      <c r="D101" s="14">
        <v>1</v>
      </c>
      <c r="E101" s="14"/>
      <c r="F101" s="14">
        <v>35.929000000000002</v>
      </c>
      <c r="G101" s="14">
        <v>1</v>
      </c>
      <c r="H101" s="14">
        <v>37.366</v>
      </c>
      <c r="I101" s="14">
        <v>37.366</v>
      </c>
      <c r="J101" s="14">
        <v>70.084000000000003</v>
      </c>
      <c r="K101" s="14"/>
      <c r="L101" s="14"/>
      <c r="M101" s="14"/>
    </row>
    <row r="102" spans="1:13" x14ac:dyDescent="0.25">
      <c r="A102" s="15">
        <v>14</v>
      </c>
      <c r="B102" s="14" t="s">
        <v>36</v>
      </c>
      <c r="C102" s="14" t="s">
        <v>48</v>
      </c>
      <c r="D102" s="14">
        <v>2</v>
      </c>
      <c r="E102" s="14"/>
      <c r="F102" s="14">
        <v>31.46</v>
      </c>
      <c r="G102" s="14">
        <v>1</v>
      </c>
      <c r="H102" s="14">
        <v>32.718000000000004</v>
      </c>
      <c r="I102" s="14">
        <v>32.718000000000004</v>
      </c>
      <c r="J102" s="14">
        <v>70.084000000000003</v>
      </c>
      <c r="K102" s="14"/>
      <c r="L102" s="14"/>
      <c r="M102" s="14"/>
    </row>
    <row r="103" spans="1:13" x14ac:dyDescent="0.25">
      <c r="A103" s="15">
        <v>141</v>
      </c>
      <c r="B103" s="14" t="s">
        <v>37</v>
      </c>
      <c r="C103" s="14" t="s">
        <v>130</v>
      </c>
      <c r="D103" s="14">
        <v>4</v>
      </c>
      <c r="E103" s="14"/>
      <c r="F103" s="14">
        <v>0.17599999999999999</v>
      </c>
      <c r="G103" s="14">
        <v>0.5</v>
      </c>
      <c r="H103" s="14">
        <v>0.49299999999999999</v>
      </c>
      <c r="I103" s="14">
        <v>0.34499999999999997</v>
      </c>
      <c r="J103" s="14">
        <v>2.3220000000000001</v>
      </c>
      <c r="K103" s="14"/>
      <c r="L103" s="14"/>
      <c r="M103" s="14"/>
    </row>
    <row r="104" spans="1:13" x14ac:dyDescent="0.25">
      <c r="A104" s="15">
        <v>141</v>
      </c>
      <c r="B104" s="14" t="s">
        <v>37</v>
      </c>
      <c r="C104" s="14" t="s">
        <v>130</v>
      </c>
      <c r="D104" s="14">
        <v>7</v>
      </c>
      <c r="E104" s="14"/>
      <c r="F104" s="14">
        <v>1.31</v>
      </c>
      <c r="G104" s="14">
        <v>1</v>
      </c>
      <c r="H104" s="14">
        <v>1.31</v>
      </c>
      <c r="I104" s="14">
        <v>0.65500000000000003</v>
      </c>
      <c r="J104" s="14">
        <v>2.3220000000000001</v>
      </c>
      <c r="K104" s="14"/>
      <c r="L104" s="14"/>
      <c r="M104" s="14"/>
    </row>
    <row r="105" spans="1:13" x14ac:dyDescent="0.25">
      <c r="A105" s="15">
        <v>141</v>
      </c>
      <c r="B105" s="14" t="s">
        <v>37</v>
      </c>
      <c r="C105" s="14" t="s">
        <v>130</v>
      </c>
      <c r="D105" s="14">
        <v>8</v>
      </c>
      <c r="E105" s="14"/>
      <c r="F105" s="14">
        <v>1.2370000000000001</v>
      </c>
      <c r="G105" s="14">
        <v>1</v>
      </c>
      <c r="H105" s="14">
        <v>1.2370000000000001</v>
      </c>
      <c r="I105" s="14">
        <v>0.61899999999999999</v>
      </c>
      <c r="J105" s="14">
        <v>2.3220000000000001</v>
      </c>
      <c r="K105" s="14"/>
      <c r="L105" s="14"/>
      <c r="M105" s="14"/>
    </row>
    <row r="106" spans="1:13" x14ac:dyDescent="0.25">
      <c r="A106" s="15">
        <v>141</v>
      </c>
      <c r="B106" s="14" t="s">
        <v>37</v>
      </c>
      <c r="C106" s="14" t="s">
        <v>130</v>
      </c>
      <c r="D106" s="14">
        <v>10</v>
      </c>
      <c r="E106" s="14"/>
      <c r="F106" s="14">
        <v>1.4059999999999999</v>
      </c>
      <c r="G106" s="14">
        <v>1</v>
      </c>
      <c r="H106" s="14">
        <v>1.4059999999999999</v>
      </c>
      <c r="I106" s="14">
        <v>0.70299999999999996</v>
      </c>
      <c r="J106" s="14">
        <v>2.3220000000000001</v>
      </c>
      <c r="K106" s="14"/>
      <c r="L106" s="14"/>
      <c r="M106" s="14"/>
    </row>
    <row r="107" spans="1:13" x14ac:dyDescent="0.25">
      <c r="A107" s="15">
        <v>192</v>
      </c>
      <c r="B107" s="14" t="s">
        <v>38</v>
      </c>
      <c r="C107" s="14" t="s">
        <v>132</v>
      </c>
      <c r="D107" s="14">
        <v>1</v>
      </c>
      <c r="E107" s="14"/>
      <c r="F107" s="14">
        <v>8.7780000000000005</v>
      </c>
      <c r="G107" s="14">
        <v>0.5</v>
      </c>
      <c r="H107" s="14">
        <v>17.556000000000001</v>
      </c>
      <c r="I107" s="14">
        <v>17.556000000000001</v>
      </c>
      <c r="J107" s="14">
        <v>20.850999999999999</v>
      </c>
      <c r="K107" s="14"/>
      <c r="L107" s="14"/>
      <c r="M107" s="14"/>
    </row>
    <row r="108" spans="1:13" x14ac:dyDescent="0.25">
      <c r="A108" s="15">
        <v>192</v>
      </c>
      <c r="B108" s="14" t="s">
        <v>38</v>
      </c>
      <c r="C108" s="14" t="s">
        <v>132</v>
      </c>
      <c r="D108" s="14">
        <v>2</v>
      </c>
      <c r="E108" s="14"/>
      <c r="F108" s="14">
        <v>0.99099999999999999</v>
      </c>
      <c r="G108" s="14">
        <v>1</v>
      </c>
      <c r="H108" s="14">
        <v>0.99099999999999999</v>
      </c>
      <c r="I108" s="14">
        <v>0.99099999999999999</v>
      </c>
      <c r="J108" s="14">
        <v>20.850999999999999</v>
      </c>
      <c r="K108" s="14"/>
      <c r="L108" s="14"/>
      <c r="M108" s="14"/>
    </row>
    <row r="109" spans="1:13" x14ac:dyDescent="0.25">
      <c r="A109" s="15">
        <v>192</v>
      </c>
      <c r="B109" s="14" t="s">
        <v>38</v>
      </c>
      <c r="C109" s="14" t="s">
        <v>132</v>
      </c>
      <c r="D109" s="14">
        <v>3</v>
      </c>
      <c r="E109" s="14"/>
      <c r="F109" s="14">
        <v>0.95799999999999996</v>
      </c>
      <c r="G109" s="14">
        <v>1</v>
      </c>
      <c r="H109" s="14">
        <v>0.95799999999999996</v>
      </c>
      <c r="I109" s="14">
        <v>0.95799999999999996</v>
      </c>
      <c r="J109" s="14">
        <v>20.850999999999999</v>
      </c>
      <c r="K109" s="14"/>
      <c r="L109" s="14"/>
      <c r="M109" s="14"/>
    </row>
    <row r="110" spans="1:13" s="1" customFormat="1" x14ac:dyDescent="0.25">
      <c r="A110" s="4">
        <v>192</v>
      </c>
      <c r="B110" s="22" t="s">
        <v>38</v>
      </c>
      <c r="C110" s="22" t="s">
        <v>132</v>
      </c>
      <c r="D110" s="22">
        <v>4</v>
      </c>
      <c r="E110" s="22"/>
      <c r="F110" s="22">
        <v>0.97899999999999998</v>
      </c>
      <c r="G110" s="22">
        <v>1</v>
      </c>
      <c r="H110" s="22">
        <v>0.97899999999999998</v>
      </c>
      <c r="I110" s="22">
        <v>0.97899999999999998</v>
      </c>
      <c r="J110" s="22">
        <v>20.850999999999999</v>
      </c>
      <c r="K110" s="22"/>
      <c r="L110" s="22"/>
      <c r="M110" s="22"/>
    </row>
    <row r="111" spans="1:13" x14ac:dyDescent="0.25">
      <c r="A111" s="15">
        <v>192</v>
      </c>
      <c r="B111" s="14" t="s">
        <v>38</v>
      </c>
      <c r="C111" s="14" t="s">
        <v>132</v>
      </c>
      <c r="D111" s="14">
        <v>5</v>
      </c>
      <c r="E111" s="14"/>
      <c r="F111" s="14">
        <v>0.36699999999999999</v>
      </c>
      <c r="G111" s="14">
        <v>1</v>
      </c>
      <c r="H111" s="14">
        <v>0.36699999999999999</v>
      </c>
      <c r="I111" s="14">
        <v>0.36699999999999999</v>
      </c>
      <c r="J111" s="14">
        <v>20.850999999999999</v>
      </c>
      <c r="K111" s="14"/>
      <c r="L111" s="14"/>
      <c r="M111" s="14"/>
    </row>
  </sheetData>
  <autoFilter ref="A1:L111" xr:uid="{9E49CC1E-E3B9-48C5-86D4-1D90133968B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7CA1-07BF-4144-850E-DB6A399920DA}">
  <sheetPr>
    <tabColor theme="4" tint="0.59999389629810485"/>
  </sheetPr>
  <dimension ref="A1:H255"/>
  <sheetViews>
    <sheetView workbookViewId="0">
      <pane ySplit="1" topLeftCell="A2" activePane="bottomLeft" state="frozen"/>
      <selection pane="bottomLeft" activeCell="G29" sqref="G29"/>
    </sheetView>
  </sheetViews>
  <sheetFormatPr baseColWidth="10" defaultRowHeight="15" x14ac:dyDescent="0.25"/>
  <cols>
    <col min="1" max="1" width="7.7109375" customWidth="1"/>
    <col min="2" max="2" width="26.7109375" customWidth="1"/>
    <col min="3" max="3" width="7.7109375" customWidth="1"/>
    <col min="4" max="4" width="9.42578125" customWidth="1"/>
    <col min="5" max="5" width="22" customWidth="1"/>
    <col min="6" max="6" width="10.42578125" customWidth="1"/>
    <col min="7" max="7" width="42.5703125" customWidth="1"/>
    <col min="8" max="8" width="23.42578125" customWidth="1"/>
  </cols>
  <sheetData>
    <row r="1" spans="1:8" x14ac:dyDescent="0.25">
      <c r="A1" s="12" t="s">
        <v>8</v>
      </c>
      <c r="B1" s="12" t="s">
        <v>9</v>
      </c>
      <c r="C1" s="12" t="s">
        <v>50</v>
      </c>
      <c r="D1" s="12" t="s">
        <v>51</v>
      </c>
      <c r="E1" s="12" t="s">
        <v>52</v>
      </c>
      <c r="F1" s="12" t="s">
        <v>53</v>
      </c>
      <c r="G1" s="19" t="s">
        <v>74</v>
      </c>
      <c r="H1" s="19" t="s">
        <v>78</v>
      </c>
    </row>
    <row r="2" spans="1:8" x14ac:dyDescent="0.25">
      <c r="A2" s="15">
        <v>142</v>
      </c>
      <c r="B2" s="14" t="s">
        <v>10</v>
      </c>
      <c r="C2" s="14">
        <v>1</v>
      </c>
      <c r="D2" s="13" t="s">
        <v>54</v>
      </c>
      <c r="E2" s="18" t="s">
        <v>55</v>
      </c>
      <c r="F2" s="21">
        <v>0.42</v>
      </c>
      <c r="G2" s="14" t="s">
        <v>80</v>
      </c>
      <c r="H2" s="14" t="s">
        <v>81</v>
      </c>
    </row>
    <row r="3" spans="1:8" x14ac:dyDescent="0.25">
      <c r="A3" s="15">
        <v>142</v>
      </c>
      <c r="B3" s="14" t="s">
        <v>10</v>
      </c>
      <c r="C3" s="14">
        <v>1</v>
      </c>
      <c r="D3" s="13" t="s">
        <v>56</v>
      </c>
      <c r="E3" s="18" t="s">
        <v>57</v>
      </c>
      <c r="F3" s="21">
        <v>0.1</v>
      </c>
      <c r="G3" s="14" t="s">
        <v>80</v>
      </c>
      <c r="H3" s="14"/>
    </row>
    <row r="4" spans="1:8" x14ac:dyDescent="0.25">
      <c r="A4" s="15">
        <v>142</v>
      </c>
      <c r="B4" s="14" t="s">
        <v>10</v>
      </c>
      <c r="C4" s="14">
        <v>1</v>
      </c>
      <c r="D4" s="13" t="s">
        <v>58</v>
      </c>
      <c r="E4" s="18" t="s">
        <v>59</v>
      </c>
      <c r="F4" s="21">
        <v>0.12</v>
      </c>
      <c r="G4" s="14" t="s">
        <v>80</v>
      </c>
      <c r="H4" s="14"/>
    </row>
    <row r="5" spans="1:8" x14ac:dyDescent="0.25">
      <c r="A5" s="15">
        <v>142</v>
      </c>
      <c r="B5" s="14" t="s">
        <v>10</v>
      </c>
      <c r="C5" s="14">
        <v>1</v>
      </c>
      <c r="D5" s="13" t="s">
        <v>60</v>
      </c>
      <c r="E5" s="18" t="s">
        <v>61</v>
      </c>
      <c r="F5" s="21">
        <v>0.2</v>
      </c>
      <c r="G5" s="14" t="s">
        <v>80</v>
      </c>
      <c r="H5" s="14"/>
    </row>
    <row r="6" spans="1:8" x14ac:dyDescent="0.25">
      <c r="A6" s="15">
        <v>142</v>
      </c>
      <c r="B6" s="14" t="s">
        <v>10</v>
      </c>
      <c r="C6" s="14">
        <v>1</v>
      </c>
      <c r="D6" s="13" t="s">
        <v>63</v>
      </c>
      <c r="E6" s="18" t="s">
        <v>64</v>
      </c>
      <c r="F6" s="13">
        <v>0.04</v>
      </c>
      <c r="G6" s="14" t="s">
        <v>80</v>
      </c>
      <c r="H6" s="14"/>
    </row>
    <row r="7" spans="1:8" x14ac:dyDescent="0.25">
      <c r="A7" s="15">
        <v>142</v>
      </c>
      <c r="B7" s="14" t="s">
        <v>10</v>
      </c>
      <c r="C7" s="14">
        <v>1</v>
      </c>
      <c r="D7" s="13" t="s">
        <v>65</v>
      </c>
      <c r="E7" s="18" t="s">
        <v>66</v>
      </c>
      <c r="F7" s="13">
        <v>0.06</v>
      </c>
      <c r="G7" s="14" t="s">
        <v>80</v>
      </c>
      <c r="H7" s="14"/>
    </row>
    <row r="8" spans="1:8" x14ac:dyDescent="0.25">
      <c r="A8" s="15">
        <v>142</v>
      </c>
      <c r="B8" s="14" t="s">
        <v>10</v>
      </c>
      <c r="C8" s="14">
        <v>1</v>
      </c>
      <c r="D8" s="13" t="s">
        <v>71</v>
      </c>
      <c r="E8" s="18" t="s">
        <v>72</v>
      </c>
      <c r="F8" s="13">
        <v>-0.4</v>
      </c>
      <c r="G8" s="14" t="s">
        <v>80</v>
      </c>
      <c r="H8" s="14"/>
    </row>
    <row r="9" spans="1:8" x14ac:dyDescent="0.25">
      <c r="A9" s="15">
        <v>142</v>
      </c>
      <c r="B9" s="14" t="s">
        <v>10</v>
      </c>
      <c r="C9" s="14">
        <v>1</v>
      </c>
      <c r="D9" s="13" t="s">
        <v>54</v>
      </c>
      <c r="E9" s="18" t="s">
        <v>55</v>
      </c>
      <c r="F9" s="21">
        <v>0.42</v>
      </c>
      <c r="G9" s="14" t="s">
        <v>80</v>
      </c>
      <c r="H9" s="14"/>
    </row>
    <row r="10" spans="1:8" x14ac:dyDescent="0.25">
      <c r="A10" s="15">
        <v>142</v>
      </c>
      <c r="B10" s="14" t="s">
        <v>10</v>
      </c>
      <c r="C10" s="14">
        <v>1</v>
      </c>
      <c r="D10" s="13" t="s">
        <v>56</v>
      </c>
      <c r="E10" s="18" t="s">
        <v>57</v>
      </c>
      <c r="F10" s="21">
        <v>0.1</v>
      </c>
      <c r="G10" s="14" t="s">
        <v>80</v>
      </c>
      <c r="H10" s="14"/>
    </row>
    <row r="11" spans="1:8" x14ac:dyDescent="0.25">
      <c r="A11" s="15">
        <v>142</v>
      </c>
      <c r="B11" s="14" t="s">
        <v>10</v>
      </c>
      <c r="C11" s="14">
        <v>1</v>
      </c>
      <c r="D11" s="13" t="s">
        <v>58</v>
      </c>
      <c r="E11" s="18" t="s">
        <v>59</v>
      </c>
      <c r="F11" s="21">
        <v>0.12</v>
      </c>
      <c r="G11" s="14" t="s">
        <v>80</v>
      </c>
      <c r="H11" s="14"/>
    </row>
    <row r="12" spans="1:8" x14ac:dyDescent="0.25">
      <c r="A12" s="15">
        <v>142</v>
      </c>
      <c r="B12" s="14" t="s">
        <v>10</v>
      </c>
      <c r="C12" s="14">
        <v>1</v>
      </c>
      <c r="D12" s="13" t="s">
        <v>60</v>
      </c>
      <c r="E12" s="18" t="s">
        <v>61</v>
      </c>
      <c r="F12" s="21">
        <v>0.2</v>
      </c>
      <c r="G12" s="14" t="s">
        <v>80</v>
      </c>
      <c r="H12" s="14"/>
    </row>
    <row r="13" spans="1:8" x14ac:dyDescent="0.25">
      <c r="A13" s="15">
        <v>142</v>
      </c>
      <c r="B13" s="14" t="s">
        <v>10</v>
      </c>
      <c r="C13" s="14">
        <v>1</v>
      </c>
      <c r="D13" s="13" t="s">
        <v>63</v>
      </c>
      <c r="E13" s="18" t="s">
        <v>64</v>
      </c>
      <c r="F13" s="13">
        <v>0.04</v>
      </c>
      <c r="G13" s="14" t="s">
        <v>80</v>
      </c>
      <c r="H13" s="14"/>
    </row>
    <row r="14" spans="1:8" x14ac:dyDescent="0.25">
      <c r="A14" s="15">
        <v>142</v>
      </c>
      <c r="B14" s="14" t="s">
        <v>10</v>
      </c>
      <c r="C14" s="14">
        <v>1</v>
      </c>
      <c r="D14" s="13" t="s">
        <v>65</v>
      </c>
      <c r="E14" s="18" t="s">
        <v>66</v>
      </c>
      <c r="F14" s="13">
        <v>0.06</v>
      </c>
      <c r="G14" s="14" t="s">
        <v>80</v>
      </c>
      <c r="H14" s="14"/>
    </row>
    <row r="15" spans="1:8" x14ac:dyDescent="0.25">
      <c r="A15" s="15">
        <v>51</v>
      </c>
      <c r="B15" s="14" t="s">
        <v>11</v>
      </c>
      <c r="C15" s="14">
        <v>1</v>
      </c>
      <c r="D15" s="14"/>
      <c r="E15" s="14"/>
      <c r="F15" s="13">
        <v>1</v>
      </c>
      <c r="G15" s="14" t="s">
        <v>82</v>
      </c>
      <c r="H15" s="14"/>
    </row>
    <row r="16" spans="1:8" x14ac:dyDescent="0.25">
      <c r="A16" s="15">
        <v>51</v>
      </c>
      <c r="B16" s="14" t="s">
        <v>11</v>
      </c>
      <c r="C16" s="14">
        <v>2</v>
      </c>
      <c r="D16" s="14"/>
      <c r="E16" s="14"/>
      <c r="F16" s="13">
        <v>1</v>
      </c>
      <c r="G16" s="14" t="s">
        <v>82</v>
      </c>
      <c r="H16" s="14"/>
    </row>
    <row r="17" spans="1:8" x14ac:dyDescent="0.25">
      <c r="A17" s="15">
        <v>51</v>
      </c>
      <c r="B17" s="14" t="s">
        <v>11</v>
      </c>
      <c r="C17" s="14">
        <v>3</v>
      </c>
      <c r="D17" s="14"/>
      <c r="E17" s="14"/>
      <c r="F17" s="13">
        <v>1</v>
      </c>
      <c r="G17" s="14" t="s">
        <v>82</v>
      </c>
      <c r="H17" s="14"/>
    </row>
    <row r="18" spans="1:8" x14ac:dyDescent="0.25">
      <c r="A18" s="15">
        <v>51</v>
      </c>
      <c r="B18" s="14" t="s">
        <v>11</v>
      </c>
      <c r="C18" s="14">
        <v>4</v>
      </c>
      <c r="D18" s="14"/>
      <c r="E18" s="14"/>
      <c r="F18" s="13">
        <v>1</v>
      </c>
      <c r="G18" s="14" t="s">
        <v>82</v>
      </c>
      <c r="H18" s="14"/>
    </row>
    <row r="19" spans="1:8" x14ac:dyDescent="0.25">
      <c r="A19" s="15">
        <v>51</v>
      </c>
      <c r="B19" s="14" t="s">
        <v>11</v>
      </c>
      <c r="C19" s="14">
        <v>9</v>
      </c>
      <c r="D19" s="13" t="s">
        <v>54</v>
      </c>
      <c r="E19" s="18" t="s">
        <v>55</v>
      </c>
      <c r="F19" s="21">
        <v>0.26</v>
      </c>
      <c r="G19" s="14" t="s">
        <v>82</v>
      </c>
      <c r="H19" s="14"/>
    </row>
    <row r="20" spans="1:8" x14ac:dyDescent="0.25">
      <c r="A20" s="15">
        <v>51</v>
      </c>
      <c r="B20" s="14" t="s">
        <v>11</v>
      </c>
      <c r="C20" s="14">
        <v>9</v>
      </c>
      <c r="D20" s="13" t="s">
        <v>56</v>
      </c>
      <c r="E20" s="18" t="s">
        <v>57</v>
      </c>
      <c r="F20" s="21">
        <v>0.1</v>
      </c>
      <c r="G20" s="14" t="s">
        <v>82</v>
      </c>
      <c r="H20" s="14"/>
    </row>
    <row r="21" spans="1:8" x14ac:dyDescent="0.25">
      <c r="A21" s="15">
        <v>51</v>
      </c>
      <c r="B21" s="14" t="s">
        <v>11</v>
      </c>
      <c r="C21" s="14">
        <v>9</v>
      </c>
      <c r="D21" s="13" t="s">
        <v>58</v>
      </c>
      <c r="E21" s="18" t="s">
        <v>59</v>
      </c>
      <c r="F21" s="21">
        <v>0.06</v>
      </c>
      <c r="G21" s="14" t="s">
        <v>82</v>
      </c>
      <c r="H21" s="14"/>
    </row>
    <row r="22" spans="1:8" x14ac:dyDescent="0.25">
      <c r="A22" s="15">
        <v>51</v>
      </c>
      <c r="B22" s="14" t="s">
        <v>11</v>
      </c>
      <c r="C22" s="14">
        <v>9</v>
      </c>
      <c r="D22" s="13" t="s">
        <v>60</v>
      </c>
      <c r="E22" s="18" t="s">
        <v>61</v>
      </c>
      <c r="F22" s="21">
        <v>0.1</v>
      </c>
      <c r="G22" s="14" t="s">
        <v>82</v>
      </c>
      <c r="H22" s="14"/>
    </row>
    <row r="23" spans="1:8" x14ac:dyDescent="0.25">
      <c r="A23" s="15">
        <v>51</v>
      </c>
      <c r="B23" s="14" t="s">
        <v>11</v>
      </c>
      <c r="C23" s="14">
        <v>9</v>
      </c>
      <c r="D23" s="13" t="s">
        <v>63</v>
      </c>
      <c r="E23" s="18" t="s">
        <v>64</v>
      </c>
      <c r="F23" s="13">
        <v>0.04</v>
      </c>
      <c r="G23" s="14" t="s">
        <v>82</v>
      </c>
      <c r="H23" s="14"/>
    </row>
    <row r="24" spans="1:8" x14ac:dyDescent="0.25">
      <c r="A24" s="15">
        <v>51</v>
      </c>
      <c r="B24" s="14" t="s">
        <v>11</v>
      </c>
      <c r="C24" s="14">
        <v>9</v>
      </c>
      <c r="D24" s="13" t="s">
        <v>65</v>
      </c>
      <c r="E24" s="18" t="s">
        <v>66</v>
      </c>
      <c r="F24" s="13">
        <v>0.06</v>
      </c>
      <c r="G24" s="14" t="s">
        <v>82</v>
      </c>
      <c r="H24" s="14"/>
    </row>
    <row r="25" spans="1:8" x14ac:dyDescent="0.25">
      <c r="A25" s="15">
        <v>51</v>
      </c>
      <c r="B25" s="14" t="s">
        <v>11</v>
      </c>
      <c r="C25" s="20">
        <v>10</v>
      </c>
      <c r="D25" s="13" t="s">
        <v>54</v>
      </c>
      <c r="E25" s="18" t="s">
        <v>55</v>
      </c>
      <c r="F25" s="21">
        <v>0.26</v>
      </c>
      <c r="G25" s="14" t="s">
        <v>82</v>
      </c>
      <c r="H25" s="14"/>
    </row>
    <row r="26" spans="1:8" x14ac:dyDescent="0.25">
      <c r="A26" s="15">
        <v>51</v>
      </c>
      <c r="B26" s="14" t="s">
        <v>11</v>
      </c>
      <c r="C26" s="20">
        <v>10</v>
      </c>
      <c r="D26" s="13" t="s">
        <v>56</v>
      </c>
      <c r="E26" s="18" t="s">
        <v>57</v>
      </c>
      <c r="F26" s="21">
        <v>0.1</v>
      </c>
      <c r="G26" s="14" t="s">
        <v>82</v>
      </c>
      <c r="H26" s="14"/>
    </row>
    <row r="27" spans="1:8" x14ac:dyDescent="0.25">
      <c r="A27" s="15">
        <v>51</v>
      </c>
      <c r="B27" s="14" t="s">
        <v>11</v>
      </c>
      <c r="C27" s="20">
        <v>10</v>
      </c>
      <c r="D27" s="13" t="s">
        <v>58</v>
      </c>
      <c r="E27" s="18" t="s">
        <v>59</v>
      </c>
      <c r="F27" s="21">
        <v>0.06</v>
      </c>
      <c r="G27" s="14" t="s">
        <v>82</v>
      </c>
      <c r="H27" s="14"/>
    </row>
    <row r="28" spans="1:8" x14ac:dyDescent="0.25">
      <c r="A28" s="15">
        <v>51</v>
      </c>
      <c r="B28" s="14" t="s">
        <v>11</v>
      </c>
      <c r="C28" s="20">
        <v>10</v>
      </c>
      <c r="D28" s="13" t="s">
        <v>60</v>
      </c>
      <c r="E28" s="18" t="s">
        <v>61</v>
      </c>
      <c r="F28" s="21">
        <v>0.1</v>
      </c>
      <c r="G28" s="14" t="s">
        <v>82</v>
      </c>
      <c r="H28" s="14"/>
    </row>
    <row r="29" spans="1:8" x14ac:dyDescent="0.25">
      <c r="A29" s="15">
        <v>51</v>
      </c>
      <c r="B29" s="14" t="s">
        <v>11</v>
      </c>
      <c r="C29" s="20">
        <v>10</v>
      </c>
      <c r="D29" s="13" t="s">
        <v>63</v>
      </c>
      <c r="E29" s="18" t="s">
        <v>64</v>
      </c>
      <c r="F29" s="13">
        <v>0.04</v>
      </c>
      <c r="G29" s="14" t="s">
        <v>82</v>
      </c>
      <c r="H29" s="14"/>
    </row>
    <row r="30" spans="1:8" x14ac:dyDescent="0.25">
      <c r="A30" s="15">
        <v>51</v>
      </c>
      <c r="B30" s="14" t="s">
        <v>11</v>
      </c>
      <c r="C30" s="20">
        <v>10</v>
      </c>
      <c r="D30" s="13" t="s">
        <v>65</v>
      </c>
      <c r="E30" s="18" t="s">
        <v>66</v>
      </c>
      <c r="F30" s="13">
        <v>0.06</v>
      </c>
      <c r="G30" s="14" t="s">
        <v>82</v>
      </c>
      <c r="H30" s="14"/>
    </row>
    <row r="31" spans="1:8" x14ac:dyDescent="0.25">
      <c r="A31" s="15">
        <v>51</v>
      </c>
      <c r="B31" s="14" t="s">
        <v>11</v>
      </c>
      <c r="C31" s="14">
        <v>10</v>
      </c>
      <c r="D31" s="13" t="s">
        <v>71</v>
      </c>
      <c r="E31" s="18" t="s">
        <v>72</v>
      </c>
      <c r="F31" s="13">
        <v>-0.2</v>
      </c>
      <c r="G31" s="14" t="s">
        <v>82</v>
      </c>
      <c r="H31" s="14"/>
    </row>
    <row r="32" spans="1:8" x14ac:dyDescent="0.25">
      <c r="A32" s="15">
        <v>51</v>
      </c>
      <c r="B32" s="14" t="s">
        <v>11</v>
      </c>
      <c r="C32" s="14">
        <v>11</v>
      </c>
      <c r="D32" s="13" t="s">
        <v>54</v>
      </c>
      <c r="E32" s="18" t="s">
        <v>55</v>
      </c>
      <c r="F32" s="21">
        <v>0.26</v>
      </c>
      <c r="G32" s="14" t="s">
        <v>82</v>
      </c>
      <c r="H32" s="14"/>
    </row>
    <row r="33" spans="1:8" x14ac:dyDescent="0.25">
      <c r="A33" s="15">
        <v>51</v>
      </c>
      <c r="B33" s="14" t="s">
        <v>11</v>
      </c>
      <c r="C33" s="14">
        <v>11</v>
      </c>
      <c r="D33" s="13" t="s">
        <v>56</v>
      </c>
      <c r="E33" s="18" t="s">
        <v>57</v>
      </c>
      <c r="F33" s="21">
        <v>0.1</v>
      </c>
      <c r="G33" s="14" t="s">
        <v>82</v>
      </c>
      <c r="H33" s="14"/>
    </row>
    <row r="34" spans="1:8" x14ac:dyDescent="0.25">
      <c r="A34" s="15">
        <v>51</v>
      </c>
      <c r="B34" s="14" t="s">
        <v>11</v>
      </c>
      <c r="C34" s="14">
        <v>11</v>
      </c>
      <c r="D34" s="13" t="s">
        <v>58</v>
      </c>
      <c r="E34" s="18" t="s">
        <v>59</v>
      </c>
      <c r="F34" s="21">
        <v>0.06</v>
      </c>
      <c r="G34" s="14" t="s">
        <v>82</v>
      </c>
      <c r="H34" s="14"/>
    </row>
    <row r="35" spans="1:8" x14ac:dyDescent="0.25">
      <c r="A35" s="15">
        <v>51</v>
      </c>
      <c r="B35" s="14" t="s">
        <v>11</v>
      </c>
      <c r="C35" s="14">
        <v>11</v>
      </c>
      <c r="D35" s="13" t="s">
        <v>60</v>
      </c>
      <c r="E35" s="18" t="s">
        <v>61</v>
      </c>
      <c r="F35" s="21">
        <v>0.1</v>
      </c>
      <c r="G35" s="14" t="s">
        <v>82</v>
      </c>
      <c r="H35" s="14"/>
    </row>
    <row r="36" spans="1:8" x14ac:dyDescent="0.25">
      <c r="A36" s="15">
        <v>51</v>
      </c>
      <c r="B36" s="14" t="s">
        <v>11</v>
      </c>
      <c r="C36" s="14">
        <v>11</v>
      </c>
      <c r="D36" s="13" t="s">
        <v>63</v>
      </c>
      <c r="E36" s="18" t="s">
        <v>64</v>
      </c>
      <c r="F36" s="13">
        <v>0.04</v>
      </c>
      <c r="G36" s="14" t="s">
        <v>82</v>
      </c>
      <c r="H36" s="14"/>
    </row>
    <row r="37" spans="1:8" x14ac:dyDescent="0.25">
      <c r="A37" s="15">
        <v>51</v>
      </c>
      <c r="B37" s="14" t="s">
        <v>11</v>
      </c>
      <c r="C37" s="14">
        <v>11</v>
      </c>
      <c r="D37" s="13" t="s">
        <v>65</v>
      </c>
      <c r="E37" s="18" t="s">
        <v>66</v>
      </c>
      <c r="F37" s="13">
        <v>0.06</v>
      </c>
      <c r="G37" s="14" t="s">
        <v>82</v>
      </c>
      <c r="H37" s="14"/>
    </row>
    <row r="38" spans="1:8" x14ac:dyDescent="0.25">
      <c r="A38" s="15">
        <v>51</v>
      </c>
      <c r="B38" s="14" t="s">
        <v>11</v>
      </c>
      <c r="C38" s="14">
        <v>12</v>
      </c>
      <c r="D38" s="13" t="s">
        <v>54</v>
      </c>
      <c r="E38" s="18" t="s">
        <v>55</v>
      </c>
      <c r="F38" s="21">
        <v>0.26</v>
      </c>
      <c r="G38" s="14" t="s">
        <v>82</v>
      </c>
      <c r="H38" s="14"/>
    </row>
    <row r="39" spans="1:8" x14ac:dyDescent="0.25">
      <c r="A39" s="15">
        <v>51</v>
      </c>
      <c r="B39" s="14" t="s">
        <v>11</v>
      </c>
      <c r="C39" s="14">
        <v>12</v>
      </c>
      <c r="D39" s="13" t="s">
        <v>56</v>
      </c>
      <c r="E39" s="18" t="s">
        <v>57</v>
      </c>
      <c r="F39" s="21">
        <v>0.1</v>
      </c>
      <c r="G39" s="14" t="s">
        <v>82</v>
      </c>
      <c r="H39" s="14"/>
    </row>
    <row r="40" spans="1:8" x14ac:dyDescent="0.25">
      <c r="A40" s="15">
        <v>51</v>
      </c>
      <c r="B40" s="14" t="s">
        <v>11</v>
      </c>
      <c r="C40" s="14">
        <v>12</v>
      </c>
      <c r="D40" s="13" t="s">
        <v>58</v>
      </c>
      <c r="E40" s="18" t="s">
        <v>59</v>
      </c>
      <c r="F40" s="21">
        <v>0.06</v>
      </c>
      <c r="G40" s="14" t="s">
        <v>82</v>
      </c>
      <c r="H40" s="14"/>
    </row>
    <row r="41" spans="1:8" x14ac:dyDescent="0.25">
      <c r="A41" s="15">
        <v>51</v>
      </c>
      <c r="B41" s="14" t="s">
        <v>11</v>
      </c>
      <c r="C41" s="14">
        <v>12</v>
      </c>
      <c r="D41" s="13" t="s">
        <v>60</v>
      </c>
      <c r="E41" s="18" t="s">
        <v>61</v>
      </c>
      <c r="F41" s="21">
        <v>0.1</v>
      </c>
      <c r="G41" s="14" t="s">
        <v>82</v>
      </c>
      <c r="H41" s="14"/>
    </row>
    <row r="42" spans="1:8" x14ac:dyDescent="0.25">
      <c r="A42" s="15">
        <v>51</v>
      </c>
      <c r="B42" s="14" t="s">
        <v>11</v>
      </c>
      <c r="C42" s="14">
        <v>12</v>
      </c>
      <c r="D42" s="13" t="s">
        <v>63</v>
      </c>
      <c r="E42" s="18" t="s">
        <v>64</v>
      </c>
      <c r="F42" s="13">
        <v>0.04</v>
      </c>
      <c r="G42" s="14" t="s">
        <v>82</v>
      </c>
      <c r="H42" s="14"/>
    </row>
    <row r="43" spans="1:8" x14ac:dyDescent="0.25">
      <c r="A43" s="15">
        <v>51</v>
      </c>
      <c r="B43" s="14" t="s">
        <v>11</v>
      </c>
      <c r="C43" s="14">
        <v>12</v>
      </c>
      <c r="D43" s="13" t="s">
        <v>65</v>
      </c>
      <c r="E43" s="18" t="s">
        <v>66</v>
      </c>
      <c r="F43" s="13">
        <v>0.06</v>
      </c>
      <c r="G43" s="14" t="s">
        <v>82</v>
      </c>
      <c r="H43" s="14"/>
    </row>
    <row r="44" spans="1:8" x14ac:dyDescent="0.25">
      <c r="A44" s="15">
        <v>51</v>
      </c>
      <c r="B44" s="14" t="s">
        <v>11</v>
      </c>
      <c r="C44" s="14">
        <v>12</v>
      </c>
      <c r="D44" s="13" t="s">
        <v>71</v>
      </c>
      <c r="E44" s="18" t="s">
        <v>72</v>
      </c>
      <c r="F44" s="13">
        <v>-0.2</v>
      </c>
      <c r="G44" s="14" t="s">
        <v>82</v>
      </c>
      <c r="H44" s="14"/>
    </row>
    <row r="45" spans="1:8" x14ac:dyDescent="0.25">
      <c r="A45" s="15">
        <v>51</v>
      </c>
      <c r="B45" s="14" t="s">
        <v>11</v>
      </c>
      <c r="C45" s="14">
        <v>13</v>
      </c>
      <c r="D45" s="14"/>
      <c r="E45" s="14"/>
      <c r="F45" s="13">
        <v>1</v>
      </c>
      <c r="G45" s="14" t="s">
        <v>82</v>
      </c>
      <c r="H45" s="14"/>
    </row>
    <row r="46" spans="1:8" x14ac:dyDescent="0.25">
      <c r="A46" s="15">
        <v>51</v>
      </c>
      <c r="B46" s="14" t="s">
        <v>11</v>
      </c>
      <c r="C46" s="14">
        <v>14</v>
      </c>
      <c r="D46" s="13" t="s">
        <v>54</v>
      </c>
      <c r="E46" s="18" t="s">
        <v>55</v>
      </c>
      <c r="F46" s="21">
        <v>0.26</v>
      </c>
      <c r="G46" s="14" t="s">
        <v>82</v>
      </c>
      <c r="H46" s="14"/>
    </row>
    <row r="47" spans="1:8" x14ac:dyDescent="0.25">
      <c r="A47" s="15">
        <v>51</v>
      </c>
      <c r="B47" s="14" t="s">
        <v>11</v>
      </c>
      <c r="C47" s="14">
        <v>14</v>
      </c>
      <c r="D47" s="13" t="s">
        <v>56</v>
      </c>
      <c r="E47" s="18" t="s">
        <v>57</v>
      </c>
      <c r="F47" s="21">
        <v>0.1</v>
      </c>
      <c r="G47" s="14" t="s">
        <v>82</v>
      </c>
      <c r="H47" s="14"/>
    </row>
    <row r="48" spans="1:8" x14ac:dyDescent="0.25">
      <c r="A48" s="15">
        <v>51</v>
      </c>
      <c r="B48" s="14" t="s">
        <v>11</v>
      </c>
      <c r="C48" s="14">
        <v>14</v>
      </c>
      <c r="D48" s="13" t="s">
        <v>58</v>
      </c>
      <c r="E48" s="18" t="s">
        <v>59</v>
      </c>
      <c r="F48" s="21">
        <v>0.06</v>
      </c>
      <c r="G48" s="14" t="s">
        <v>82</v>
      </c>
      <c r="H48" s="14"/>
    </row>
    <row r="49" spans="1:8" x14ac:dyDescent="0.25">
      <c r="A49" s="15">
        <v>51</v>
      </c>
      <c r="B49" s="14" t="s">
        <v>11</v>
      </c>
      <c r="C49" s="14">
        <v>14</v>
      </c>
      <c r="D49" s="13" t="s">
        <v>60</v>
      </c>
      <c r="E49" s="18" t="s">
        <v>61</v>
      </c>
      <c r="F49" s="21">
        <v>0.1</v>
      </c>
      <c r="G49" s="14" t="s">
        <v>82</v>
      </c>
      <c r="H49" s="14"/>
    </row>
    <row r="50" spans="1:8" x14ac:dyDescent="0.25">
      <c r="A50" s="15">
        <v>51</v>
      </c>
      <c r="B50" s="14" t="s">
        <v>11</v>
      </c>
      <c r="C50" s="14">
        <v>14</v>
      </c>
      <c r="D50" s="13" t="s">
        <v>63</v>
      </c>
      <c r="E50" s="18" t="s">
        <v>64</v>
      </c>
      <c r="F50" s="13">
        <v>0.04</v>
      </c>
      <c r="G50" s="14" t="s">
        <v>82</v>
      </c>
      <c r="H50" s="14"/>
    </row>
    <row r="51" spans="1:8" x14ac:dyDescent="0.25">
      <c r="A51" s="15">
        <v>51</v>
      </c>
      <c r="B51" s="14" t="s">
        <v>11</v>
      </c>
      <c r="C51" s="14">
        <v>14</v>
      </c>
      <c r="D51" s="13" t="s">
        <v>65</v>
      </c>
      <c r="E51" s="18" t="s">
        <v>66</v>
      </c>
      <c r="F51" s="13">
        <v>0.06</v>
      </c>
      <c r="G51" s="14" t="s">
        <v>82</v>
      </c>
      <c r="H51" s="14"/>
    </row>
    <row r="52" spans="1:8" x14ac:dyDescent="0.25">
      <c r="A52" s="15">
        <v>208</v>
      </c>
      <c r="B52" s="14" t="s">
        <v>12</v>
      </c>
      <c r="C52" s="14">
        <v>1</v>
      </c>
      <c r="D52" s="14"/>
      <c r="E52" s="14"/>
      <c r="F52" s="13">
        <v>1</v>
      </c>
      <c r="G52" s="14" t="s">
        <v>86</v>
      </c>
      <c r="H52" s="14"/>
    </row>
    <row r="53" spans="1:8" x14ac:dyDescent="0.25">
      <c r="A53" s="15">
        <v>218</v>
      </c>
      <c r="B53" s="14" t="s">
        <v>13</v>
      </c>
      <c r="C53" s="14">
        <v>2</v>
      </c>
      <c r="D53" s="14"/>
      <c r="E53" s="14"/>
      <c r="F53" s="13">
        <v>1</v>
      </c>
      <c r="G53" s="14" t="s">
        <v>88</v>
      </c>
      <c r="H53" s="14"/>
    </row>
    <row r="54" spans="1:8" x14ac:dyDescent="0.25">
      <c r="A54" s="15">
        <v>218</v>
      </c>
      <c r="B54" s="14" t="s">
        <v>13</v>
      </c>
      <c r="C54" s="14">
        <v>3</v>
      </c>
      <c r="D54" s="14"/>
      <c r="E54" s="14"/>
      <c r="F54" s="13">
        <v>1</v>
      </c>
      <c r="G54" s="14" t="s">
        <v>88</v>
      </c>
      <c r="H54" s="14"/>
    </row>
    <row r="55" spans="1:8" x14ac:dyDescent="0.25">
      <c r="A55" s="15">
        <v>218</v>
      </c>
      <c r="B55" s="14" t="s">
        <v>13</v>
      </c>
      <c r="C55" s="14">
        <v>5</v>
      </c>
      <c r="D55" s="14"/>
      <c r="E55" s="14"/>
      <c r="F55" s="13">
        <v>1</v>
      </c>
      <c r="G55" s="14" t="s">
        <v>88</v>
      </c>
      <c r="H55" s="14"/>
    </row>
    <row r="56" spans="1:8" x14ac:dyDescent="0.25">
      <c r="A56" s="15">
        <v>220</v>
      </c>
      <c r="B56" s="14" t="s">
        <v>14</v>
      </c>
      <c r="C56" s="14">
        <v>1</v>
      </c>
      <c r="D56" s="14"/>
      <c r="E56" s="14"/>
      <c r="F56" s="13">
        <v>1</v>
      </c>
      <c r="G56" s="14" t="s">
        <v>90</v>
      </c>
      <c r="H56" s="14"/>
    </row>
    <row r="57" spans="1:8" x14ac:dyDescent="0.25">
      <c r="A57" s="15">
        <v>220</v>
      </c>
      <c r="B57" s="14" t="s">
        <v>14</v>
      </c>
      <c r="C57" s="14">
        <v>2</v>
      </c>
      <c r="D57" s="13" t="s">
        <v>54</v>
      </c>
      <c r="E57" s="18" t="s">
        <v>55</v>
      </c>
      <c r="F57" s="21">
        <v>0.52</v>
      </c>
      <c r="G57" s="14" t="s">
        <v>90</v>
      </c>
      <c r="H57" s="14"/>
    </row>
    <row r="58" spans="1:8" x14ac:dyDescent="0.25">
      <c r="A58" s="15">
        <v>220</v>
      </c>
      <c r="B58" s="14" t="s">
        <v>14</v>
      </c>
      <c r="C58" s="14">
        <v>2</v>
      </c>
      <c r="D58" s="13" t="s">
        <v>56</v>
      </c>
      <c r="E58" s="18" t="s">
        <v>57</v>
      </c>
      <c r="F58" s="21">
        <v>0.3</v>
      </c>
      <c r="G58" s="14" t="s">
        <v>90</v>
      </c>
      <c r="H58" s="14"/>
    </row>
    <row r="59" spans="1:8" x14ac:dyDescent="0.25">
      <c r="A59" s="15">
        <v>220</v>
      </c>
      <c r="B59" s="14" t="s">
        <v>14</v>
      </c>
      <c r="C59" s="14">
        <v>2</v>
      </c>
      <c r="D59" s="13" t="s">
        <v>58</v>
      </c>
      <c r="E59" s="18" t="s">
        <v>59</v>
      </c>
      <c r="F59" s="21">
        <v>0.06</v>
      </c>
      <c r="G59" s="14" t="s">
        <v>90</v>
      </c>
      <c r="H59" s="14"/>
    </row>
    <row r="60" spans="1:8" x14ac:dyDescent="0.25">
      <c r="A60" s="15">
        <v>220</v>
      </c>
      <c r="B60" s="14" t="s">
        <v>14</v>
      </c>
      <c r="C60" s="14">
        <v>2</v>
      </c>
      <c r="D60" s="13" t="s">
        <v>60</v>
      </c>
      <c r="E60" s="18" t="s">
        <v>61</v>
      </c>
      <c r="F60" s="21">
        <v>0.1</v>
      </c>
      <c r="G60" s="14" t="s">
        <v>90</v>
      </c>
      <c r="H60" s="14"/>
    </row>
    <row r="61" spans="1:8" x14ac:dyDescent="0.25">
      <c r="A61" s="15">
        <v>220</v>
      </c>
      <c r="B61" s="14" t="s">
        <v>14</v>
      </c>
      <c r="C61" s="14">
        <v>2</v>
      </c>
      <c r="D61" s="13" t="s">
        <v>67</v>
      </c>
      <c r="E61" s="18" t="s">
        <v>68</v>
      </c>
      <c r="F61" s="13">
        <v>0.06</v>
      </c>
      <c r="G61" s="14" t="s">
        <v>90</v>
      </c>
      <c r="H61" s="14"/>
    </row>
    <row r="62" spans="1:8" x14ac:dyDescent="0.25">
      <c r="A62" s="15">
        <v>220</v>
      </c>
      <c r="B62" s="14" t="s">
        <v>14</v>
      </c>
      <c r="C62" s="14">
        <v>2</v>
      </c>
      <c r="D62" s="13" t="s">
        <v>63</v>
      </c>
      <c r="E62" s="18" t="s">
        <v>64</v>
      </c>
      <c r="F62" s="13">
        <v>0.04</v>
      </c>
      <c r="G62" s="14" t="s">
        <v>90</v>
      </c>
      <c r="H62" s="14"/>
    </row>
    <row r="63" spans="1:8" x14ac:dyDescent="0.25">
      <c r="A63" s="15">
        <v>220</v>
      </c>
      <c r="B63" s="14" t="s">
        <v>14</v>
      </c>
      <c r="C63" s="14">
        <v>2</v>
      </c>
      <c r="D63" s="13" t="s">
        <v>65</v>
      </c>
      <c r="E63" s="18" t="s">
        <v>66</v>
      </c>
      <c r="F63" s="13">
        <v>0.06</v>
      </c>
      <c r="G63" s="14" t="s">
        <v>90</v>
      </c>
      <c r="H63" s="14"/>
    </row>
    <row r="64" spans="1:8" x14ac:dyDescent="0.25">
      <c r="A64" s="15">
        <v>152</v>
      </c>
      <c r="B64" s="14" t="s">
        <v>15</v>
      </c>
      <c r="C64" s="14">
        <v>1</v>
      </c>
      <c r="D64" s="13" t="s">
        <v>54</v>
      </c>
      <c r="E64" s="18" t="s">
        <v>55</v>
      </c>
      <c r="F64" s="21">
        <v>0.74</v>
      </c>
      <c r="G64" s="14" t="s">
        <v>92</v>
      </c>
      <c r="H64" s="14"/>
    </row>
    <row r="65" spans="1:8" x14ac:dyDescent="0.25">
      <c r="A65" s="15">
        <v>152</v>
      </c>
      <c r="B65" s="14" t="s">
        <v>15</v>
      </c>
      <c r="C65" s="14">
        <v>1</v>
      </c>
      <c r="D65" s="13" t="s">
        <v>56</v>
      </c>
      <c r="E65" s="18" t="s">
        <v>57</v>
      </c>
      <c r="F65" s="21">
        <v>0.4</v>
      </c>
      <c r="G65" s="14" t="s">
        <v>92</v>
      </c>
      <c r="H65" s="14"/>
    </row>
    <row r="66" spans="1:8" x14ac:dyDescent="0.25">
      <c r="A66" s="15">
        <v>152</v>
      </c>
      <c r="B66" s="14" t="s">
        <v>15</v>
      </c>
      <c r="C66" s="14">
        <v>1</v>
      </c>
      <c r="D66" s="13" t="s">
        <v>58</v>
      </c>
      <c r="E66" s="18" t="s">
        <v>59</v>
      </c>
      <c r="F66" s="21">
        <v>0.12</v>
      </c>
      <c r="G66" s="14" t="s">
        <v>92</v>
      </c>
      <c r="H66" s="14"/>
    </row>
    <row r="67" spans="1:8" x14ac:dyDescent="0.25">
      <c r="A67" s="15">
        <v>152</v>
      </c>
      <c r="B67" s="14" t="s">
        <v>15</v>
      </c>
      <c r="C67" s="14">
        <v>1</v>
      </c>
      <c r="D67" s="13" t="s">
        <v>60</v>
      </c>
      <c r="E67" s="18" t="s">
        <v>61</v>
      </c>
      <c r="F67" s="21">
        <v>0.1</v>
      </c>
      <c r="G67" s="14" t="s">
        <v>92</v>
      </c>
      <c r="H67" s="14"/>
    </row>
    <row r="68" spans="1:8" x14ac:dyDescent="0.25">
      <c r="A68" s="15">
        <v>152</v>
      </c>
      <c r="B68" s="14" t="s">
        <v>15</v>
      </c>
      <c r="C68" s="14">
        <v>1</v>
      </c>
      <c r="D68" s="13" t="s">
        <v>67</v>
      </c>
      <c r="E68" s="18" t="s">
        <v>68</v>
      </c>
      <c r="F68" s="13">
        <v>0.12</v>
      </c>
      <c r="G68" s="14" t="s">
        <v>92</v>
      </c>
      <c r="H68" s="14"/>
    </row>
    <row r="69" spans="1:8" x14ac:dyDescent="0.25">
      <c r="A69" s="15">
        <v>152</v>
      </c>
      <c r="B69" s="14" t="s">
        <v>15</v>
      </c>
      <c r="C69" s="14">
        <v>1</v>
      </c>
      <c r="D69" s="13" t="s">
        <v>63</v>
      </c>
      <c r="E69" s="18" t="s">
        <v>64</v>
      </c>
      <c r="F69" s="13">
        <v>0.12</v>
      </c>
      <c r="G69" s="14" t="s">
        <v>92</v>
      </c>
      <c r="H69" s="14"/>
    </row>
    <row r="70" spans="1:8" x14ac:dyDescent="0.25">
      <c r="A70" s="15">
        <v>152</v>
      </c>
      <c r="B70" s="14" t="s">
        <v>15</v>
      </c>
      <c r="C70" s="14">
        <v>1</v>
      </c>
      <c r="D70" s="13" t="s">
        <v>65</v>
      </c>
      <c r="E70" s="18" t="s">
        <v>66</v>
      </c>
      <c r="F70" s="13">
        <v>0.06</v>
      </c>
      <c r="G70" s="14" t="s">
        <v>92</v>
      </c>
      <c r="H70" s="14"/>
    </row>
    <row r="71" spans="1:8" x14ac:dyDescent="0.25">
      <c r="A71" s="15">
        <v>152</v>
      </c>
      <c r="B71" s="14" t="s">
        <v>15</v>
      </c>
      <c r="C71" s="14">
        <v>1</v>
      </c>
      <c r="D71" s="13" t="s">
        <v>69</v>
      </c>
      <c r="E71" s="18" t="s">
        <v>70</v>
      </c>
      <c r="F71" s="13">
        <v>0.1</v>
      </c>
      <c r="G71" s="14" t="s">
        <v>92</v>
      </c>
      <c r="H71" s="14"/>
    </row>
    <row r="72" spans="1:8" x14ac:dyDescent="0.25">
      <c r="A72" s="15">
        <v>314</v>
      </c>
      <c r="B72" s="14" t="s">
        <v>16</v>
      </c>
      <c r="C72" s="14">
        <v>2</v>
      </c>
      <c r="D72" s="14"/>
      <c r="E72" s="14"/>
      <c r="F72" s="13">
        <v>1</v>
      </c>
      <c r="G72" s="14" t="s">
        <v>93</v>
      </c>
      <c r="H72" s="14"/>
    </row>
    <row r="73" spans="1:8" x14ac:dyDescent="0.25">
      <c r="A73" s="15">
        <v>314</v>
      </c>
      <c r="B73" s="14" t="s">
        <v>16</v>
      </c>
      <c r="C73" s="14">
        <v>3</v>
      </c>
      <c r="D73" s="14"/>
      <c r="E73" s="14"/>
      <c r="F73" s="13">
        <v>1</v>
      </c>
      <c r="G73" s="14" t="s">
        <v>93</v>
      </c>
      <c r="H73" s="14"/>
    </row>
    <row r="74" spans="1:8" x14ac:dyDescent="0.25">
      <c r="A74" s="15">
        <v>314</v>
      </c>
      <c r="B74" s="14" t="s">
        <v>16</v>
      </c>
      <c r="C74" s="14">
        <v>4</v>
      </c>
      <c r="D74" s="14"/>
      <c r="E74" s="14"/>
      <c r="F74" s="13">
        <v>1</v>
      </c>
      <c r="G74" s="14" t="s">
        <v>93</v>
      </c>
      <c r="H74" s="14"/>
    </row>
    <row r="75" spans="1:8" x14ac:dyDescent="0.25">
      <c r="A75" s="15">
        <v>314</v>
      </c>
      <c r="B75" s="14" t="s">
        <v>16</v>
      </c>
      <c r="C75" s="14">
        <v>5</v>
      </c>
      <c r="D75" s="14"/>
      <c r="E75" s="14"/>
      <c r="F75" s="13">
        <v>1</v>
      </c>
      <c r="G75" s="14" t="s">
        <v>93</v>
      </c>
      <c r="H75" s="14"/>
    </row>
    <row r="76" spans="1:8" x14ac:dyDescent="0.25">
      <c r="A76" s="15">
        <v>314</v>
      </c>
      <c r="B76" s="14" t="s">
        <v>16</v>
      </c>
      <c r="C76" s="14">
        <v>6</v>
      </c>
      <c r="D76" s="14"/>
      <c r="E76" s="14"/>
      <c r="F76" s="13">
        <v>1</v>
      </c>
      <c r="G76" s="14" t="s">
        <v>93</v>
      </c>
      <c r="H76" s="14"/>
    </row>
    <row r="77" spans="1:8" x14ac:dyDescent="0.25">
      <c r="A77" s="15">
        <v>314</v>
      </c>
      <c r="B77" s="14" t="s">
        <v>16</v>
      </c>
      <c r="C77" s="14">
        <v>7</v>
      </c>
      <c r="D77" s="14"/>
      <c r="E77" s="14"/>
      <c r="F77" s="13">
        <v>1</v>
      </c>
      <c r="G77" s="14" t="s">
        <v>93</v>
      </c>
      <c r="H77" s="14"/>
    </row>
    <row r="78" spans="1:8" x14ac:dyDescent="0.25">
      <c r="A78" s="15">
        <v>314</v>
      </c>
      <c r="B78" s="14" t="s">
        <v>16</v>
      </c>
      <c r="C78" s="14">
        <v>8</v>
      </c>
      <c r="D78" s="14"/>
      <c r="E78" s="14"/>
      <c r="F78" s="13">
        <v>1</v>
      </c>
      <c r="G78" s="14" t="s">
        <v>93</v>
      </c>
      <c r="H78" s="14"/>
    </row>
    <row r="79" spans="1:8" x14ac:dyDescent="0.25">
      <c r="A79" s="15">
        <v>314</v>
      </c>
      <c r="B79" s="14" t="s">
        <v>16</v>
      </c>
      <c r="C79" s="14">
        <v>9</v>
      </c>
      <c r="D79" s="14"/>
      <c r="E79" s="14"/>
      <c r="F79" s="13">
        <v>1</v>
      </c>
      <c r="G79" s="14" t="s">
        <v>93</v>
      </c>
      <c r="H79" s="14"/>
    </row>
    <row r="80" spans="1:8" x14ac:dyDescent="0.25">
      <c r="A80" s="15">
        <v>314</v>
      </c>
      <c r="B80" s="14" t="s">
        <v>16</v>
      </c>
      <c r="C80" s="14">
        <v>10</v>
      </c>
      <c r="D80" s="14"/>
      <c r="E80" s="14"/>
      <c r="F80" s="13">
        <v>1</v>
      </c>
      <c r="G80" s="14" t="s">
        <v>93</v>
      </c>
      <c r="H80" s="14"/>
    </row>
    <row r="81" spans="1:8" x14ac:dyDescent="0.25">
      <c r="A81" s="15">
        <v>314</v>
      </c>
      <c r="B81" s="14" t="s">
        <v>16</v>
      </c>
      <c r="C81" s="14">
        <v>11</v>
      </c>
      <c r="D81" s="14"/>
      <c r="E81" s="14"/>
      <c r="F81" s="13">
        <v>1</v>
      </c>
      <c r="G81" s="14" t="s">
        <v>93</v>
      </c>
      <c r="H81" s="14"/>
    </row>
    <row r="82" spans="1:8" x14ac:dyDescent="0.25">
      <c r="A82" s="15">
        <v>314</v>
      </c>
      <c r="B82" s="14" t="s">
        <v>16</v>
      </c>
      <c r="C82" s="14">
        <v>12</v>
      </c>
      <c r="D82" s="14"/>
      <c r="E82" s="14"/>
      <c r="F82" s="13">
        <v>1</v>
      </c>
      <c r="G82" s="14" t="s">
        <v>93</v>
      </c>
      <c r="H82" s="14"/>
    </row>
    <row r="83" spans="1:8" x14ac:dyDescent="0.25">
      <c r="A83" s="15">
        <v>314</v>
      </c>
      <c r="B83" s="14" t="s">
        <v>16</v>
      </c>
      <c r="C83" s="14">
        <v>13</v>
      </c>
      <c r="D83" s="14"/>
      <c r="E83" s="14"/>
      <c r="F83" s="13">
        <v>1</v>
      </c>
      <c r="G83" s="14" t="s">
        <v>93</v>
      </c>
      <c r="H83" s="14"/>
    </row>
    <row r="84" spans="1:8" x14ac:dyDescent="0.25">
      <c r="A84" s="15">
        <v>314</v>
      </c>
      <c r="B84" s="14" t="s">
        <v>16</v>
      </c>
      <c r="C84" s="14">
        <v>14</v>
      </c>
      <c r="D84" s="14"/>
      <c r="E84" s="14"/>
      <c r="F84" s="13">
        <v>1</v>
      </c>
      <c r="G84" s="14" t="s">
        <v>93</v>
      </c>
      <c r="H84" s="14"/>
    </row>
    <row r="85" spans="1:8" x14ac:dyDescent="0.25">
      <c r="A85" s="15">
        <v>314</v>
      </c>
      <c r="B85" s="14" t="s">
        <v>16</v>
      </c>
      <c r="C85" s="14">
        <v>15</v>
      </c>
      <c r="D85" s="14"/>
      <c r="E85" s="14"/>
      <c r="F85" s="13">
        <v>1</v>
      </c>
      <c r="G85" s="14" t="s">
        <v>93</v>
      </c>
      <c r="H85" s="14"/>
    </row>
    <row r="86" spans="1:8" x14ac:dyDescent="0.25">
      <c r="A86" s="15">
        <v>314</v>
      </c>
      <c r="B86" s="14" t="s">
        <v>16</v>
      </c>
      <c r="C86" s="14">
        <v>16</v>
      </c>
      <c r="D86" s="14"/>
      <c r="E86" s="14"/>
      <c r="F86" s="13">
        <v>1</v>
      </c>
      <c r="G86" s="14" t="s">
        <v>93</v>
      </c>
      <c r="H86" s="14"/>
    </row>
    <row r="87" spans="1:8" x14ac:dyDescent="0.25">
      <c r="A87" s="15">
        <v>314</v>
      </c>
      <c r="B87" s="14" t="s">
        <v>16</v>
      </c>
      <c r="C87" s="14">
        <v>17</v>
      </c>
      <c r="D87" s="14"/>
      <c r="E87" s="14"/>
      <c r="F87" s="13">
        <v>1</v>
      </c>
      <c r="G87" s="14" t="s">
        <v>93</v>
      </c>
      <c r="H87" s="14"/>
    </row>
    <row r="88" spans="1:8" x14ac:dyDescent="0.25">
      <c r="A88" s="15">
        <v>314</v>
      </c>
      <c r="B88" s="14" t="s">
        <v>16</v>
      </c>
      <c r="C88" s="14">
        <v>18</v>
      </c>
      <c r="D88" s="14"/>
      <c r="E88" s="14"/>
      <c r="F88" s="13">
        <v>1</v>
      </c>
      <c r="G88" s="14" t="s">
        <v>93</v>
      </c>
      <c r="H88" s="14"/>
    </row>
    <row r="89" spans="1:8" x14ac:dyDescent="0.25">
      <c r="A89" s="15">
        <v>314</v>
      </c>
      <c r="B89" s="14" t="s">
        <v>16</v>
      </c>
      <c r="C89" s="14">
        <v>19</v>
      </c>
      <c r="D89" s="14"/>
      <c r="E89" s="14"/>
      <c r="F89" s="13">
        <v>1</v>
      </c>
      <c r="G89" s="14" t="s">
        <v>93</v>
      </c>
      <c r="H89" s="14"/>
    </row>
    <row r="90" spans="1:8" x14ac:dyDescent="0.25">
      <c r="A90" s="15">
        <v>314</v>
      </c>
      <c r="B90" s="14" t="s">
        <v>16</v>
      </c>
      <c r="C90" s="14">
        <v>20</v>
      </c>
      <c r="D90" s="14"/>
      <c r="E90" s="14"/>
      <c r="F90" s="13">
        <v>1</v>
      </c>
      <c r="G90" s="14" t="s">
        <v>93</v>
      </c>
      <c r="H90" s="14"/>
    </row>
    <row r="91" spans="1:8" x14ac:dyDescent="0.25">
      <c r="A91" s="15">
        <v>314</v>
      </c>
      <c r="B91" s="14" t="s">
        <v>16</v>
      </c>
      <c r="C91" s="14">
        <v>21</v>
      </c>
      <c r="D91" s="14"/>
      <c r="E91" s="14"/>
      <c r="F91" s="13">
        <v>1</v>
      </c>
      <c r="G91" s="14" t="s">
        <v>93</v>
      </c>
      <c r="H91" s="14"/>
    </row>
    <row r="92" spans="1:8" x14ac:dyDescent="0.25">
      <c r="A92" s="15">
        <v>93</v>
      </c>
      <c r="B92" s="14" t="s">
        <v>17</v>
      </c>
      <c r="C92" s="14">
        <v>1</v>
      </c>
      <c r="D92" s="14"/>
      <c r="E92" s="14"/>
      <c r="F92" s="13">
        <v>1</v>
      </c>
      <c r="G92" s="14" t="s">
        <v>96</v>
      </c>
      <c r="H92" s="14"/>
    </row>
    <row r="93" spans="1:8" x14ac:dyDescent="0.25">
      <c r="A93" s="15">
        <v>93</v>
      </c>
      <c r="B93" s="14" t="s">
        <v>17</v>
      </c>
      <c r="C93" s="14">
        <v>2</v>
      </c>
      <c r="D93" s="14"/>
      <c r="E93" s="14"/>
      <c r="F93" s="13">
        <v>1</v>
      </c>
      <c r="G93" s="14" t="s">
        <v>96</v>
      </c>
      <c r="H93" s="14"/>
    </row>
    <row r="94" spans="1:8" x14ac:dyDescent="0.25">
      <c r="A94" s="15">
        <v>93</v>
      </c>
      <c r="B94" s="14" t="s">
        <v>17</v>
      </c>
      <c r="C94" s="14">
        <v>3</v>
      </c>
      <c r="D94" s="14"/>
      <c r="E94" s="14"/>
      <c r="F94" s="13">
        <v>1</v>
      </c>
      <c r="G94" s="14" t="s">
        <v>96</v>
      </c>
      <c r="H94" s="14"/>
    </row>
    <row r="95" spans="1:8" x14ac:dyDescent="0.25">
      <c r="A95" s="15">
        <v>75</v>
      </c>
      <c r="B95" s="14" t="s">
        <v>18</v>
      </c>
      <c r="C95" s="14">
        <v>1</v>
      </c>
      <c r="D95" s="14"/>
      <c r="E95" s="14"/>
      <c r="F95" s="13">
        <v>1</v>
      </c>
      <c r="G95" s="14" t="s">
        <v>98</v>
      </c>
      <c r="H95" s="14"/>
    </row>
    <row r="96" spans="1:8" x14ac:dyDescent="0.25">
      <c r="A96" s="15">
        <v>75</v>
      </c>
      <c r="B96" s="14" t="s">
        <v>18</v>
      </c>
      <c r="C96" s="14">
        <v>2</v>
      </c>
      <c r="D96" s="14"/>
      <c r="E96" s="14"/>
      <c r="F96" s="13">
        <v>1</v>
      </c>
      <c r="G96" s="14" t="s">
        <v>98</v>
      </c>
      <c r="H96" s="14"/>
    </row>
    <row r="97" spans="1:8" x14ac:dyDescent="0.25">
      <c r="A97" s="15">
        <v>352</v>
      </c>
      <c r="B97" s="14" t="s">
        <v>19</v>
      </c>
      <c r="C97" s="14">
        <v>1</v>
      </c>
      <c r="D97" s="13" t="s">
        <v>76</v>
      </c>
      <c r="E97" s="18" t="s">
        <v>77</v>
      </c>
      <c r="F97" s="21">
        <v>0.2</v>
      </c>
      <c r="G97" s="14" t="s">
        <v>100</v>
      </c>
      <c r="H97" s="14"/>
    </row>
    <row r="98" spans="1:8" x14ac:dyDescent="0.25">
      <c r="A98" s="15">
        <v>216</v>
      </c>
      <c r="B98" s="14" t="s">
        <v>20</v>
      </c>
      <c r="C98" s="14">
        <v>1</v>
      </c>
      <c r="D98" s="14"/>
      <c r="E98" s="14"/>
      <c r="F98" s="13">
        <v>1</v>
      </c>
      <c r="G98" s="14" t="s">
        <v>102</v>
      </c>
      <c r="H98" s="14"/>
    </row>
    <row r="99" spans="1:8" x14ac:dyDescent="0.25">
      <c r="A99" s="15">
        <v>258</v>
      </c>
      <c r="B99" s="14" t="s">
        <v>21</v>
      </c>
      <c r="C99" s="14">
        <v>1</v>
      </c>
      <c r="D99" s="14"/>
      <c r="E99" s="14"/>
      <c r="F99" s="13">
        <v>1</v>
      </c>
      <c r="G99" s="14" t="s">
        <v>104</v>
      </c>
      <c r="H99" s="14"/>
    </row>
    <row r="100" spans="1:8" x14ac:dyDescent="0.25">
      <c r="A100" s="15">
        <v>258</v>
      </c>
      <c r="B100" s="14" t="s">
        <v>21</v>
      </c>
      <c r="C100" s="14">
        <v>2</v>
      </c>
      <c r="D100" s="14"/>
      <c r="E100" s="14"/>
      <c r="F100" s="13">
        <v>1</v>
      </c>
      <c r="G100" s="14" t="s">
        <v>104</v>
      </c>
      <c r="H100" s="14"/>
    </row>
    <row r="101" spans="1:8" x14ac:dyDescent="0.25">
      <c r="A101" s="15">
        <v>258</v>
      </c>
      <c r="B101" s="14" t="s">
        <v>21</v>
      </c>
      <c r="C101" s="14">
        <v>3</v>
      </c>
      <c r="D101" s="14"/>
      <c r="E101" s="14"/>
      <c r="F101" s="13">
        <v>1</v>
      </c>
      <c r="G101" s="14" t="s">
        <v>104</v>
      </c>
      <c r="H101" s="14"/>
    </row>
    <row r="102" spans="1:8" x14ac:dyDescent="0.25">
      <c r="A102" s="15">
        <v>258</v>
      </c>
      <c r="B102" s="14" t="s">
        <v>21</v>
      </c>
      <c r="C102" s="14">
        <v>4</v>
      </c>
      <c r="D102" s="14"/>
      <c r="E102" s="14"/>
      <c r="F102" s="13">
        <v>1</v>
      </c>
      <c r="G102" s="14" t="s">
        <v>104</v>
      </c>
      <c r="H102" s="14"/>
    </row>
    <row r="103" spans="1:8" x14ac:dyDescent="0.25">
      <c r="A103" s="15">
        <v>86</v>
      </c>
      <c r="B103" s="14" t="s">
        <v>22</v>
      </c>
      <c r="C103" s="14">
        <v>1</v>
      </c>
      <c r="D103" s="13" t="s">
        <v>54</v>
      </c>
      <c r="E103" s="18" t="s">
        <v>55</v>
      </c>
      <c r="F103" s="21">
        <v>0.52</v>
      </c>
      <c r="G103" s="14" t="s">
        <v>75</v>
      </c>
      <c r="H103" s="14"/>
    </row>
    <row r="104" spans="1:8" x14ac:dyDescent="0.25">
      <c r="A104" s="15">
        <v>86</v>
      </c>
      <c r="B104" s="14" t="s">
        <v>22</v>
      </c>
      <c r="C104" s="14">
        <v>1</v>
      </c>
      <c r="D104" s="13" t="s">
        <v>56</v>
      </c>
      <c r="E104" s="18" t="s">
        <v>57</v>
      </c>
      <c r="F104" s="21">
        <v>0.2</v>
      </c>
      <c r="G104" s="14" t="s">
        <v>75</v>
      </c>
      <c r="H104" s="14"/>
    </row>
    <row r="105" spans="1:8" x14ac:dyDescent="0.25">
      <c r="A105" s="15">
        <v>86</v>
      </c>
      <c r="B105" s="14" t="s">
        <v>22</v>
      </c>
      <c r="C105" s="14">
        <v>1</v>
      </c>
      <c r="D105" s="13" t="s">
        <v>58</v>
      </c>
      <c r="E105" s="18" t="s">
        <v>59</v>
      </c>
      <c r="F105" s="21">
        <v>0.12</v>
      </c>
      <c r="G105" s="14" t="s">
        <v>75</v>
      </c>
      <c r="H105" s="14"/>
    </row>
    <row r="106" spans="1:8" x14ac:dyDescent="0.25">
      <c r="A106" s="15">
        <v>86</v>
      </c>
      <c r="B106" s="14" t="s">
        <v>22</v>
      </c>
      <c r="C106" s="14">
        <v>1</v>
      </c>
      <c r="D106" s="13" t="s">
        <v>60</v>
      </c>
      <c r="E106" s="18" t="s">
        <v>61</v>
      </c>
      <c r="F106" s="21">
        <v>0.2</v>
      </c>
      <c r="G106" s="14" t="s">
        <v>75</v>
      </c>
      <c r="H106" s="14"/>
    </row>
    <row r="107" spans="1:8" x14ac:dyDescent="0.25">
      <c r="A107" s="15">
        <v>86</v>
      </c>
      <c r="B107" s="14" t="s">
        <v>22</v>
      </c>
      <c r="C107" s="14">
        <v>1</v>
      </c>
      <c r="D107" s="13" t="s">
        <v>63</v>
      </c>
      <c r="E107" s="18" t="s">
        <v>64</v>
      </c>
      <c r="F107" s="13">
        <v>0.12</v>
      </c>
      <c r="G107" s="14" t="s">
        <v>75</v>
      </c>
      <c r="H107" s="14"/>
    </row>
    <row r="108" spans="1:8" x14ac:dyDescent="0.25">
      <c r="A108" s="15">
        <v>86</v>
      </c>
      <c r="B108" s="14" t="s">
        <v>22</v>
      </c>
      <c r="C108" s="14">
        <v>1</v>
      </c>
      <c r="D108" s="13" t="s">
        <v>65</v>
      </c>
      <c r="E108" s="18" t="s">
        <v>66</v>
      </c>
      <c r="F108" s="13">
        <v>0.06</v>
      </c>
      <c r="G108" s="14" t="s">
        <v>75</v>
      </c>
      <c r="H108" s="14"/>
    </row>
    <row r="109" spans="1:8" x14ac:dyDescent="0.25">
      <c r="A109" s="15">
        <v>86</v>
      </c>
      <c r="B109" s="14" t="s">
        <v>22</v>
      </c>
      <c r="C109" s="14">
        <v>2</v>
      </c>
      <c r="D109" s="13" t="s">
        <v>54</v>
      </c>
      <c r="E109" s="18" t="s">
        <v>55</v>
      </c>
      <c r="F109" s="21">
        <v>0.52</v>
      </c>
      <c r="G109" s="14" t="s">
        <v>75</v>
      </c>
      <c r="H109" s="14"/>
    </row>
    <row r="110" spans="1:8" x14ac:dyDescent="0.25">
      <c r="A110" s="15">
        <v>86</v>
      </c>
      <c r="B110" s="14" t="s">
        <v>22</v>
      </c>
      <c r="C110" s="14">
        <v>2</v>
      </c>
      <c r="D110" s="13" t="s">
        <v>56</v>
      </c>
      <c r="E110" s="18" t="s">
        <v>57</v>
      </c>
      <c r="F110" s="21">
        <v>0.2</v>
      </c>
      <c r="G110" s="14" t="s">
        <v>75</v>
      </c>
      <c r="H110" s="14"/>
    </row>
    <row r="111" spans="1:8" x14ac:dyDescent="0.25">
      <c r="A111" s="15">
        <v>86</v>
      </c>
      <c r="B111" s="14" t="s">
        <v>22</v>
      </c>
      <c r="C111" s="14">
        <v>2</v>
      </c>
      <c r="D111" s="13" t="s">
        <v>58</v>
      </c>
      <c r="E111" s="18" t="s">
        <v>59</v>
      </c>
      <c r="F111" s="21">
        <v>0.12</v>
      </c>
      <c r="G111" s="14" t="s">
        <v>75</v>
      </c>
      <c r="H111" s="14"/>
    </row>
    <row r="112" spans="1:8" x14ac:dyDescent="0.25">
      <c r="A112" s="15">
        <v>86</v>
      </c>
      <c r="B112" s="14" t="s">
        <v>22</v>
      </c>
      <c r="C112" s="14">
        <v>2</v>
      </c>
      <c r="D112" s="13" t="s">
        <v>60</v>
      </c>
      <c r="E112" s="18" t="s">
        <v>61</v>
      </c>
      <c r="F112" s="21">
        <v>0.2</v>
      </c>
      <c r="G112" s="14" t="s">
        <v>75</v>
      </c>
      <c r="H112" s="14"/>
    </row>
    <row r="113" spans="1:8" x14ac:dyDescent="0.25">
      <c r="A113" s="15">
        <v>86</v>
      </c>
      <c r="B113" s="14" t="s">
        <v>22</v>
      </c>
      <c r="C113" s="14">
        <v>2</v>
      </c>
      <c r="D113" s="13" t="s">
        <v>63</v>
      </c>
      <c r="E113" s="18" t="s">
        <v>64</v>
      </c>
      <c r="F113" s="13">
        <v>0.12</v>
      </c>
      <c r="G113" s="14" t="s">
        <v>75</v>
      </c>
      <c r="H113" s="14"/>
    </row>
    <row r="114" spans="1:8" x14ac:dyDescent="0.25">
      <c r="A114" s="15">
        <v>86</v>
      </c>
      <c r="B114" s="14" t="s">
        <v>22</v>
      </c>
      <c r="C114" s="14">
        <v>2</v>
      </c>
      <c r="D114" s="13" t="s">
        <v>65</v>
      </c>
      <c r="E114" s="18" t="s">
        <v>66</v>
      </c>
      <c r="F114" s="13">
        <v>0.06</v>
      </c>
      <c r="G114" s="14" t="s">
        <v>75</v>
      </c>
      <c r="H114" s="14"/>
    </row>
    <row r="115" spans="1:8" x14ac:dyDescent="0.25">
      <c r="A115" s="15">
        <v>401</v>
      </c>
      <c r="B115" s="14" t="s">
        <v>23</v>
      </c>
      <c r="C115" s="14">
        <v>1</v>
      </c>
      <c r="D115" s="13" t="s">
        <v>54</v>
      </c>
      <c r="E115" s="18" t="s">
        <v>55</v>
      </c>
      <c r="F115" s="21">
        <v>0.26</v>
      </c>
      <c r="G115" s="14" t="s">
        <v>107</v>
      </c>
      <c r="H115" s="14"/>
    </row>
    <row r="116" spans="1:8" x14ac:dyDescent="0.25">
      <c r="A116" s="15">
        <v>401</v>
      </c>
      <c r="B116" s="14" t="s">
        <v>23</v>
      </c>
      <c r="C116" s="14">
        <v>1</v>
      </c>
      <c r="D116" s="13" t="s">
        <v>56</v>
      </c>
      <c r="E116" s="18" t="s">
        <v>57</v>
      </c>
      <c r="F116" s="21">
        <v>0.1</v>
      </c>
      <c r="G116" s="14" t="s">
        <v>107</v>
      </c>
      <c r="H116" s="14"/>
    </row>
    <row r="117" spans="1:8" x14ac:dyDescent="0.25">
      <c r="A117" s="15">
        <v>401</v>
      </c>
      <c r="B117" s="14" t="s">
        <v>23</v>
      </c>
      <c r="C117" s="14">
        <v>1</v>
      </c>
      <c r="D117" s="13" t="s">
        <v>58</v>
      </c>
      <c r="E117" s="18" t="s">
        <v>59</v>
      </c>
      <c r="F117" s="21">
        <v>0.06</v>
      </c>
      <c r="G117" s="14" t="s">
        <v>107</v>
      </c>
      <c r="H117" s="14"/>
    </row>
    <row r="118" spans="1:8" x14ac:dyDescent="0.25">
      <c r="A118" s="15">
        <v>401</v>
      </c>
      <c r="B118" s="14" t="s">
        <v>23</v>
      </c>
      <c r="C118" s="14">
        <v>1</v>
      </c>
      <c r="D118" s="13" t="s">
        <v>60</v>
      </c>
      <c r="E118" s="18" t="s">
        <v>61</v>
      </c>
      <c r="F118" s="21">
        <v>0.1</v>
      </c>
      <c r="G118" s="14" t="s">
        <v>107</v>
      </c>
      <c r="H118" s="14"/>
    </row>
    <row r="119" spans="1:8" x14ac:dyDescent="0.25">
      <c r="A119" s="15">
        <v>401</v>
      </c>
      <c r="B119" s="14" t="s">
        <v>23</v>
      </c>
      <c r="C119" s="14">
        <v>1</v>
      </c>
      <c r="D119" s="13" t="s">
        <v>63</v>
      </c>
      <c r="E119" s="18" t="s">
        <v>64</v>
      </c>
      <c r="F119" s="13">
        <v>0.04</v>
      </c>
      <c r="G119" s="14" t="s">
        <v>107</v>
      </c>
      <c r="H119" s="14"/>
    </row>
    <row r="120" spans="1:8" x14ac:dyDescent="0.25">
      <c r="A120" s="15">
        <v>401</v>
      </c>
      <c r="B120" s="14" t="s">
        <v>23</v>
      </c>
      <c r="C120" s="14">
        <v>1</v>
      </c>
      <c r="D120" s="13" t="s">
        <v>65</v>
      </c>
      <c r="E120" s="18" t="s">
        <v>66</v>
      </c>
      <c r="F120" s="13">
        <v>0.06</v>
      </c>
      <c r="G120" s="14" t="s">
        <v>107</v>
      </c>
      <c r="H120" s="14"/>
    </row>
    <row r="121" spans="1:8" x14ac:dyDescent="0.25">
      <c r="A121" s="15">
        <v>401</v>
      </c>
      <c r="B121" s="14" t="s">
        <v>23</v>
      </c>
      <c r="C121" s="14">
        <v>2</v>
      </c>
      <c r="D121" s="14"/>
      <c r="E121" s="14"/>
      <c r="F121" s="13">
        <v>1</v>
      </c>
      <c r="G121" s="14" t="s">
        <v>107</v>
      </c>
      <c r="H121" s="14"/>
    </row>
    <row r="122" spans="1:8" x14ac:dyDescent="0.25">
      <c r="A122" s="15">
        <v>401</v>
      </c>
      <c r="B122" s="14" t="s">
        <v>23</v>
      </c>
      <c r="C122" s="14">
        <v>3</v>
      </c>
      <c r="D122" s="13" t="s">
        <v>54</v>
      </c>
      <c r="E122" s="18" t="s">
        <v>55</v>
      </c>
      <c r="F122" s="21">
        <v>0.52</v>
      </c>
      <c r="G122" s="14" t="s">
        <v>107</v>
      </c>
      <c r="H122" s="14"/>
    </row>
    <row r="123" spans="1:8" x14ac:dyDescent="0.25">
      <c r="A123" s="15">
        <v>401</v>
      </c>
      <c r="B123" s="14" t="s">
        <v>23</v>
      </c>
      <c r="C123" s="14">
        <v>3</v>
      </c>
      <c r="D123" s="13" t="s">
        <v>56</v>
      </c>
      <c r="E123" s="18" t="s">
        <v>57</v>
      </c>
      <c r="F123" s="21">
        <v>0.3</v>
      </c>
      <c r="G123" s="14" t="s">
        <v>107</v>
      </c>
      <c r="H123" s="14"/>
    </row>
    <row r="124" spans="1:8" x14ac:dyDescent="0.25">
      <c r="A124" s="15">
        <v>401</v>
      </c>
      <c r="B124" s="14" t="s">
        <v>23</v>
      </c>
      <c r="C124" s="14">
        <v>3</v>
      </c>
      <c r="D124" s="13" t="s">
        <v>60</v>
      </c>
      <c r="E124" s="18" t="s">
        <v>61</v>
      </c>
      <c r="F124" s="21">
        <v>0.1</v>
      </c>
      <c r="G124" s="14" t="s">
        <v>107</v>
      </c>
      <c r="H124" s="14"/>
    </row>
    <row r="125" spans="1:8" x14ac:dyDescent="0.25">
      <c r="A125" s="15">
        <v>401</v>
      </c>
      <c r="B125" s="14" t="s">
        <v>23</v>
      </c>
      <c r="C125" s="14">
        <v>3</v>
      </c>
      <c r="D125" s="13" t="s">
        <v>67</v>
      </c>
      <c r="E125" s="18" t="s">
        <v>68</v>
      </c>
      <c r="F125" s="13">
        <v>0.12</v>
      </c>
      <c r="G125" s="14" t="s">
        <v>107</v>
      </c>
      <c r="H125" s="14"/>
    </row>
    <row r="126" spans="1:8" x14ac:dyDescent="0.25">
      <c r="A126" s="15">
        <v>401</v>
      </c>
      <c r="B126" s="14" t="s">
        <v>23</v>
      </c>
      <c r="C126" s="14">
        <v>3</v>
      </c>
      <c r="D126" s="13" t="s">
        <v>63</v>
      </c>
      <c r="E126" s="18" t="s">
        <v>64</v>
      </c>
      <c r="F126" s="13">
        <v>0.04</v>
      </c>
      <c r="G126" s="14" t="s">
        <v>107</v>
      </c>
      <c r="H126" s="14"/>
    </row>
    <row r="127" spans="1:8" x14ac:dyDescent="0.25">
      <c r="A127" s="15">
        <v>401</v>
      </c>
      <c r="B127" s="14" t="s">
        <v>23</v>
      </c>
      <c r="C127" s="14">
        <v>3</v>
      </c>
      <c r="D127" s="13" t="s">
        <v>65</v>
      </c>
      <c r="E127" s="18" t="s">
        <v>66</v>
      </c>
      <c r="F127" s="13">
        <v>0.06</v>
      </c>
      <c r="G127" s="14" t="s">
        <v>107</v>
      </c>
      <c r="H127" s="14"/>
    </row>
    <row r="128" spans="1:8" x14ac:dyDescent="0.25">
      <c r="A128" s="15">
        <v>401</v>
      </c>
      <c r="B128" s="14" t="s">
        <v>23</v>
      </c>
      <c r="C128" s="14">
        <v>3</v>
      </c>
      <c r="D128" s="13" t="s">
        <v>69</v>
      </c>
      <c r="E128" s="18" t="s">
        <v>70</v>
      </c>
      <c r="F128" s="13">
        <v>0.2</v>
      </c>
      <c r="G128" s="14" t="s">
        <v>107</v>
      </c>
      <c r="H128" s="14"/>
    </row>
    <row r="129" spans="1:8" x14ac:dyDescent="0.25">
      <c r="A129" s="15">
        <v>38</v>
      </c>
      <c r="B129" s="22" t="s">
        <v>133</v>
      </c>
      <c r="C129" s="14">
        <v>1</v>
      </c>
      <c r="D129" s="14"/>
      <c r="E129" s="14"/>
      <c r="F129" s="13">
        <v>1</v>
      </c>
      <c r="G129" s="14" t="s">
        <v>136</v>
      </c>
      <c r="H129" s="22"/>
    </row>
    <row r="130" spans="1:8" x14ac:dyDescent="0.25">
      <c r="A130" s="15">
        <v>38</v>
      </c>
      <c r="B130" s="22" t="s">
        <v>133</v>
      </c>
      <c r="C130" s="14">
        <v>2</v>
      </c>
      <c r="D130" s="14"/>
      <c r="E130" s="14"/>
      <c r="F130" s="13">
        <v>1</v>
      </c>
      <c r="G130" s="14" t="s">
        <v>136</v>
      </c>
      <c r="H130" s="22"/>
    </row>
    <row r="131" spans="1:8" x14ac:dyDescent="0.25">
      <c r="A131" s="15">
        <v>38</v>
      </c>
      <c r="B131" s="22" t="s">
        <v>133</v>
      </c>
      <c r="C131" s="14">
        <v>3</v>
      </c>
      <c r="D131" s="14"/>
      <c r="E131" s="14"/>
      <c r="F131" s="13">
        <v>1</v>
      </c>
      <c r="G131" s="14" t="s">
        <v>136</v>
      </c>
      <c r="H131" s="22"/>
    </row>
    <row r="132" spans="1:8" x14ac:dyDescent="0.25">
      <c r="A132" s="15">
        <v>38</v>
      </c>
      <c r="B132" s="22" t="s">
        <v>133</v>
      </c>
      <c r="C132" s="14">
        <v>4</v>
      </c>
      <c r="D132" s="14"/>
      <c r="E132" s="14"/>
      <c r="F132" s="13">
        <v>1</v>
      </c>
      <c r="G132" s="14" t="s">
        <v>136</v>
      </c>
      <c r="H132" s="22"/>
    </row>
    <row r="133" spans="1:8" x14ac:dyDescent="0.25">
      <c r="A133" s="15">
        <v>103</v>
      </c>
      <c r="B133" s="22" t="s">
        <v>134</v>
      </c>
      <c r="C133" s="14">
        <v>1</v>
      </c>
      <c r="D133" s="14"/>
      <c r="E133" s="14"/>
      <c r="F133" s="13">
        <v>1</v>
      </c>
      <c r="G133" s="14" t="s">
        <v>138</v>
      </c>
      <c r="H133" s="22"/>
    </row>
    <row r="134" spans="1:8" x14ac:dyDescent="0.25">
      <c r="A134" s="15">
        <v>350</v>
      </c>
      <c r="B134" s="14" t="s">
        <v>26</v>
      </c>
      <c r="C134" s="14">
        <v>1</v>
      </c>
      <c r="D134" s="14"/>
      <c r="E134" s="14"/>
      <c r="F134" s="13">
        <v>1</v>
      </c>
      <c r="G134" s="14" t="s">
        <v>109</v>
      </c>
      <c r="H134" s="14"/>
    </row>
    <row r="135" spans="1:8" x14ac:dyDescent="0.25">
      <c r="A135" s="15">
        <v>266</v>
      </c>
      <c r="B135" s="14" t="s">
        <v>27</v>
      </c>
      <c r="C135" s="14">
        <v>1</v>
      </c>
      <c r="D135" s="13" t="s">
        <v>54</v>
      </c>
      <c r="E135" s="18" t="s">
        <v>55</v>
      </c>
      <c r="F135" s="21">
        <v>0.88</v>
      </c>
      <c r="G135" s="14" t="s">
        <v>111</v>
      </c>
      <c r="H135" s="14"/>
    </row>
    <row r="136" spans="1:8" x14ac:dyDescent="0.25">
      <c r="A136" s="15">
        <v>266</v>
      </c>
      <c r="B136" s="14" t="s">
        <v>27</v>
      </c>
      <c r="C136" s="14">
        <v>1</v>
      </c>
      <c r="D136" s="13" t="s">
        <v>58</v>
      </c>
      <c r="E136" s="18" t="s">
        <v>59</v>
      </c>
      <c r="F136" s="13">
        <v>0.18</v>
      </c>
      <c r="G136" s="14" t="s">
        <v>111</v>
      </c>
      <c r="H136" s="14"/>
    </row>
    <row r="137" spans="1:8" x14ac:dyDescent="0.25">
      <c r="A137" s="15">
        <v>266</v>
      </c>
      <c r="B137" s="14" t="s">
        <v>27</v>
      </c>
      <c r="C137" s="14">
        <v>1</v>
      </c>
      <c r="D137" s="13" t="s">
        <v>60</v>
      </c>
      <c r="E137" s="18" t="s">
        <v>61</v>
      </c>
      <c r="F137" s="13">
        <v>0.1</v>
      </c>
      <c r="G137" s="14" t="s">
        <v>111</v>
      </c>
      <c r="H137" s="14"/>
    </row>
    <row r="138" spans="1:8" x14ac:dyDescent="0.25">
      <c r="A138" s="15">
        <v>266</v>
      </c>
      <c r="B138" s="14" t="s">
        <v>27</v>
      </c>
      <c r="C138" s="14">
        <v>1</v>
      </c>
      <c r="D138" s="13" t="s">
        <v>62</v>
      </c>
      <c r="E138" s="18" t="s">
        <v>73</v>
      </c>
      <c r="F138" s="13">
        <v>0.6</v>
      </c>
      <c r="G138" s="14" t="s">
        <v>111</v>
      </c>
      <c r="H138" s="14"/>
    </row>
    <row r="139" spans="1:8" x14ac:dyDescent="0.25">
      <c r="A139" s="15">
        <v>266</v>
      </c>
      <c r="B139" s="14" t="s">
        <v>27</v>
      </c>
      <c r="C139" s="14">
        <v>1</v>
      </c>
      <c r="D139" s="13" t="s">
        <v>63</v>
      </c>
      <c r="E139" s="18" t="s">
        <v>64</v>
      </c>
      <c r="F139" s="13">
        <v>0.04</v>
      </c>
      <c r="G139" s="14" t="s">
        <v>111</v>
      </c>
      <c r="H139" s="14"/>
    </row>
    <row r="140" spans="1:8" x14ac:dyDescent="0.25">
      <c r="A140" s="15">
        <v>266</v>
      </c>
      <c r="B140" s="14" t="s">
        <v>27</v>
      </c>
      <c r="C140" s="14">
        <v>1</v>
      </c>
      <c r="D140" s="13" t="s">
        <v>65</v>
      </c>
      <c r="E140" s="18" t="s">
        <v>66</v>
      </c>
      <c r="F140" s="13">
        <v>0.06</v>
      </c>
      <c r="G140" s="14" t="s">
        <v>111</v>
      </c>
      <c r="H140" s="14"/>
    </row>
    <row r="141" spans="1:8" x14ac:dyDescent="0.25">
      <c r="A141" s="15">
        <v>266</v>
      </c>
      <c r="B141" s="14" t="s">
        <v>27</v>
      </c>
      <c r="C141" s="14">
        <v>2</v>
      </c>
      <c r="D141" s="13" t="s">
        <v>54</v>
      </c>
      <c r="E141" s="18" t="s">
        <v>55</v>
      </c>
      <c r="F141" s="21">
        <v>0.88</v>
      </c>
      <c r="G141" s="14" t="s">
        <v>111</v>
      </c>
      <c r="H141" s="14"/>
    </row>
    <row r="142" spans="1:8" x14ac:dyDescent="0.25">
      <c r="A142" s="15">
        <v>266</v>
      </c>
      <c r="B142" s="14" t="s">
        <v>27</v>
      </c>
      <c r="C142" s="14">
        <v>2</v>
      </c>
      <c r="D142" s="13" t="s">
        <v>58</v>
      </c>
      <c r="E142" s="18" t="s">
        <v>59</v>
      </c>
      <c r="F142" s="13">
        <v>0.18</v>
      </c>
      <c r="G142" s="14" t="s">
        <v>111</v>
      </c>
      <c r="H142" s="14"/>
    </row>
    <row r="143" spans="1:8" x14ac:dyDescent="0.25">
      <c r="A143" s="15">
        <v>266</v>
      </c>
      <c r="B143" s="14" t="s">
        <v>27</v>
      </c>
      <c r="C143" s="14">
        <v>2</v>
      </c>
      <c r="D143" s="13" t="s">
        <v>60</v>
      </c>
      <c r="E143" s="18" t="s">
        <v>61</v>
      </c>
      <c r="F143" s="13">
        <v>0.1</v>
      </c>
      <c r="G143" s="14" t="s">
        <v>111</v>
      </c>
      <c r="H143" s="14"/>
    </row>
    <row r="144" spans="1:8" x14ac:dyDescent="0.25">
      <c r="A144" s="15">
        <v>266</v>
      </c>
      <c r="B144" s="14" t="s">
        <v>27</v>
      </c>
      <c r="C144" s="14">
        <v>2</v>
      </c>
      <c r="D144" s="13" t="s">
        <v>62</v>
      </c>
      <c r="E144" s="18" t="s">
        <v>73</v>
      </c>
      <c r="F144" s="13">
        <v>0.6</v>
      </c>
      <c r="G144" s="14" t="s">
        <v>111</v>
      </c>
      <c r="H144" s="14"/>
    </row>
    <row r="145" spans="1:8" x14ac:dyDescent="0.25">
      <c r="A145" s="15">
        <v>266</v>
      </c>
      <c r="B145" s="14" t="s">
        <v>27</v>
      </c>
      <c r="C145" s="14">
        <v>2</v>
      </c>
      <c r="D145" s="13" t="s">
        <v>63</v>
      </c>
      <c r="E145" s="18" t="s">
        <v>64</v>
      </c>
      <c r="F145" s="13">
        <v>0.04</v>
      </c>
      <c r="G145" s="14" t="s">
        <v>111</v>
      </c>
      <c r="H145" s="14"/>
    </row>
    <row r="146" spans="1:8" x14ac:dyDescent="0.25">
      <c r="A146" s="15">
        <v>266</v>
      </c>
      <c r="B146" s="14" t="s">
        <v>27</v>
      </c>
      <c r="C146" s="14">
        <v>2</v>
      </c>
      <c r="D146" s="13" t="s">
        <v>65</v>
      </c>
      <c r="E146" s="18" t="s">
        <v>66</v>
      </c>
      <c r="F146" s="13">
        <v>0.06</v>
      </c>
      <c r="G146" s="14" t="s">
        <v>111</v>
      </c>
      <c r="H146" s="14"/>
    </row>
    <row r="147" spans="1:8" x14ac:dyDescent="0.25">
      <c r="A147" s="15">
        <v>266</v>
      </c>
      <c r="B147" s="14" t="s">
        <v>27</v>
      </c>
      <c r="C147" s="14">
        <v>3</v>
      </c>
      <c r="D147" s="13" t="s">
        <v>54</v>
      </c>
      <c r="E147" s="18" t="s">
        <v>55</v>
      </c>
      <c r="F147" s="21">
        <v>0.98</v>
      </c>
      <c r="G147" s="14" t="s">
        <v>111</v>
      </c>
      <c r="H147" s="14"/>
    </row>
    <row r="148" spans="1:8" x14ac:dyDescent="0.25">
      <c r="A148" s="15">
        <v>266</v>
      </c>
      <c r="B148" s="14" t="s">
        <v>27</v>
      </c>
      <c r="C148" s="14">
        <v>3</v>
      </c>
      <c r="D148" s="13" t="s">
        <v>56</v>
      </c>
      <c r="E148" s="18" t="s">
        <v>57</v>
      </c>
      <c r="F148" s="21">
        <v>0.1</v>
      </c>
      <c r="G148" s="14" t="s">
        <v>111</v>
      </c>
      <c r="H148" s="14"/>
    </row>
    <row r="149" spans="1:8" x14ac:dyDescent="0.25">
      <c r="A149" s="15">
        <v>266</v>
      </c>
      <c r="B149" s="14" t="s">
        <v>27</v>
      </c>
      <c r="C149" s="14">
        <v>3</v>
      </c>
      <c r="D149" s="13" t="s">
        <v>58</v>
      </c>
      <c r="E149" s="18" t="s">
        <v>59</v>
      </c>
      <c r="F149" s="13">
        <v>0.18</v>
      </c>
      <c r="G149" s="14" t="s">
        <v>111</v>
      </c>
      <c r="H149" s="14"/>
    </row>
    <row r="150" spans="1:8" x14ac:dyDescent="0.25">
      <c r="A150" s="15">
        <v>266</v>
      </c>
      <c r="B150" s="14" t="s">
        <v>27</v>
      </c>
      <c r="C150" s="14">
        <v>3</v>
      </c>
      <c r="D150" s="13" t="s">
        <v>60</v>
      </c>
      <c r="E150" s="18" t="s">
        <v>61</v>
      </c>
      <c r="F150" s="13">
        <v>0.1</v>
      </c>
      <c r="G150" s="14" t="s">
        <v>111</v>
      </c>
      <c r="H150" s="14"/>
    </row>
    <row r="151" spans="1:8" x14ac:dyDescent="0.25">
      <c r="A151" s="15">
        <v>266</v>
      </c>
      <c r="B151" s="14" t="s">
        <v>27</v>
      </c>
      <c r="C151" s="14">
        <v>3</v>
      </c>
      <c r="D151" s="13" t="s">
        <v>62</v>
      </c>
      <c r="E151" s="18" t="s">
        <v>73</v>
      </c>
      <c r="F151" s="13">
        <v>0.6</v>
      </c>
      <c r="G151" s="14" t="s">
        <v>111</v>
      </c>
      <c r="H151" s="14"/>
    </row>
    <row r="152" spans="1:8" x14ac:dyDescent="0.25">
      <c r="A152" s="15">
        <v>266</v>
      </c>
      <c r="B152" s="14" t="s">
        <v>27</v>
      </c>
      <c r="C152" s="14">
        <v>3</v>
      </c>
      <c r="D152" s="13" t="s">
        <v>63</v>
      </c>
      <c r="E152" s="18" t="s">
        <v>64</v>
      </c>
      <c r="F152" s="13">
        <v>0.04</v>
      </c>
      <c r="G152" s="14" t="s">
        <v>111</v>
      </c>
      <c r="H152" s="14"/>
    </row>
    <row r="153" spans="1:8" x14ac:dyDescent="0.25">
      <c r="A153" s="15">
        <v>266</v>
      </c>
      <c r="B153" s="14" t="s">
        <v>27</v>
      </c>
      <c r="C153" s="14">
        <v>3</v>
      </c>
      <c r="D153" s="13" t="s">
        <v>65</v>
      </c>
      <c r="E153" s="18" t="s">
        <v>66</v>
      </c>
      <c r="F153" s="13">
        <v>0.06</v>
      </c>
      <c r="G153" s="14" t="s">
        <v>111</v>
      </c>
      <c r="H153" s="14"/>
    </row>
    <row r="154" spans="1:8" x14ac:dyDescent="0.25">
      <c r="A154" s="15">
        <v>40</v>
      </c>
      <c r="B154" s="14" t="s">
        <v>28</v>
      </c>
      <c r="C154" s="14">
        <v>1</v>
      </c>
      <c r="D154" s="14"/>
      <c r="E154" s="14"/>
      <c r="F154" s="13">
        <v>1</v>
      </c>
      <c r="G154" s="14" t="s">
        <v>113</v>
      </c>
      <c r="H154" s="14"/>
    </row>
    <row r="155" spans="1:8" x14ac:dyDescent="0.25">
      <c r="A155" s="15">
        <v>40</v>
      </c>
      <c r="B155" s="14" t="s">
        <v>28</v>
      </c>
      <c r="C155" s="14">
        <v>2</v>
      </c>
      <c r="D155" s="14"/>
      <c r="E155" s="14"/>
      <c r="F155" s="13">
        <v>1</v>
      </c>
      <c r="G155" s="14" t="s">
        <v>113</v>
      </c>
      <c r="H155" s="14"/>
    </row>
    <row r="156" spans="1:8" x14ac:dyDescent="0.25">
      <c r="A156" s="15">
        <v>40</v>
      </c>
      <c r="B156" s="14" t="s">
        <v>28</v>
      </c>
      <c r="C156" s="14">
        <v>3</v>
      </c>
      <c r="D156" s="14"/>
      <c r="E156" s="14"/>
      <c r="F156" s="13">
        <v>1</v>
      </c>
      <c r="G156" s="14" t="s">
        <v>113</v>
      </c>
      <c r="H156" s="14"/>
    </row>
    <row r="157" spans="1:8" x14ac:dyDescent="0.25">
      <c r="A157" s="15">
        <v>40</v>
      </c>
      <c r="B157" s="14" t="s">
        <v>28</v>
      </c>
      <c r="C157" s="14">
        <v>4</v>
      </c>
      <c r="D157" s="14"/>
      <c r="E157" s="14"/>
      <c r="F157" s="13">
        <v>1</v>
      </c>
      <c r="G157" s="14" t="s">
        <v>113</v>
      </c>
      <c r="H157" s="14"/>
    </row>
    <row r="158" spans="1:8" x14ac:dyDescent="0.25">
      <c r="A158" s="15">
        <v>40</v>
      </c>
      <c r="B158" s="14" t="s">
        <v>28</v>
      </c>
      <c r="C158" s="14">
        <v>5</v>
      </c>
      <c r="D158" s="14"/>
      <c r="E158" s="14"/>
      <c r="F158" s="13">
        <v>1</v>
      </c>
      <c r="G158" s="14" t="s">
        <v>113</v>
      </c>
      <c r="H158" s="14"/>
    </row>
    <row r="159" spans="1:8" x14ac:dyDescent="0.25">
      <c r="A159" s="15">
        <v>40</v>
      </c>
      <c r="B159" s="14" t="s">
        <v>28</v>
      </c>
      <c r="C159" s="14">
        <v>6</v>
      </c>
      <c r="D159" s="14"/>
      <c r="E159" s="14"/>
      <c r="F159" s="13">
        <v>1</v>
      </c>
      <c r="G159" s="14" t="s">
        <v>113</v>
      </c>
      <c r="H159" s="14"/>
    </row>
    <row r="160" spans="1:8" x14ac:dyDescent="0.25">
      <c r="A160" s="15">
        <v>40</v>
      </c>
      <c r="B160" s="14" t="s">
        <v>28</v>
      </c>
      <c r="C160" s="14">
        <v>7</v>
      </c>
      <c r="D160" s="14"/>
      <c r="E160" s="14"/>
      <c r="F160" s="13">
        <v>1</v>
      </c>
      <c r="G160" s="14" t="s">
        <v>113</v>
      </c>
      <c r="H160" s="14"/>
    </row>
    <row r="161" spans="1:8" x14ac:dyDescent="0.25">
      <c r="A161" s="15">
        <v>40</v>
      </c>
      <c r="B161" s="14" t="s">
        <v>28</v>
      </c>
      <c r="C161" s="14">
        <v>8</v>
      </c>
      <c r="D161" s="14"/>
      <c r="E161" s="14"/>
      <c r="F161" s="13">
        <v>1</v>
      </c>
      <c r="G161" s="14" t="s">
        <v>113</v>
      </c>
      <c r="H161" s="14"/>
    </row>
    <row r="162" spans="1:8" x14ac:dyDescent="0.25">
      <c r="A162" s="15">
        <v>294</v>
      </c>
      <c r="B162" s="14" t="s">
        <v>29</v>
      </c>
      <c r="C162" s="14">
        <v>1</v>
      </c>
      <c r="D162" s="13" t="s">
        <v>54</v>
      </c>
      <c r="E162" s="18" t="s">
        <v>55</v>
      </c>
      <c r="F162" s="21">
        <v>0.32</v>
      </c>
      <c r="G162" s="14" t="s">
        <v>115</v>
      </c>
      <c r="H162" s="14"/>
    </row>
    <row r="163" spans="1:8" x14ac:dyDescent="0.25">
      <c r="A163" s="15">
        <v>294</v>
      </c>
      <c r="B163" s="14" t="s">
        <v>29</v>
      </c>
      <c r="C163" s="14">
        <v>1</v>
      </c>
      <c r="D163" s="13" t="s">
        <v>56</v>
      </c>
      <c r="E163" s="18" t="s">
        <v>57</v>
      </c>
      <c r="F163" s="21">
        <v>0.1</v>
      </c>
      <c r="G163" s="14" t="s">
        <v>115</v>
      </c>
      <c r="H163" s="14"/>
    </row>
    <row r="164" spans="1:8" x14ac:dyDescent="0.25">
      <c r="A164" s="15">
        <v>294</v>
      </c>
      <c r="B164" s="14" t="s">
        <v>29</v>
      </c>
      <c r="C164" s="14">
        <v>1</v>
      </c>
      <c r="D164" s="13" t="s">
        <v>60</v>
      </c>
      <c r="E164" s="18" t="s">
        <v>61</v>
      </c>
      <c r="F164" s="21">
        <v>0.1</v>
      </c>
      <c r="G164" s="14" t="s">
        <v>115</v>
      </c>
      <c r="H164" s="14"/>
    </row>
    <row r="165" spans="1:8" x14ac:dyDescent="0.25">
      <c r="A165" s="15">
        <v>294</v>
      </c>
      <c r="B165" s="14" t="s">
        <v>29</v>
      </c>
      <c r="C165" s="14">
        <v>1</v>
      </c>
      <c r="D165" s="13" t="s">
        <v>67</v>
      </c>
      <c r="E165" s="18" t="s">
        <v>68</v>
      </c>
      <c r="F165" s="13">
        <v>0.12</v>
      </c>
      <c r="G165" s="14" t="s">
        <v>115</v>
      </c>
      <c r="H165" s="14"/>
    </row>
    <row r="166" spans="1:8" x14ac:dyDescent="0.25">
      <c r="A166" s="15">
        <v>294</v>
      </c>
      <c r="B166" s="14" t="s">
        <v>29</v>
      </c>
      <c r="C166" s="14">
        <v>1</v>
      </c>
      <c r="D166" s="13" t="s">
        <v>63</v>
      </c>
      <c r="E166" s="18" t="s">
        <v>64</v>
      </c>
      <c r="F166" s="13">
        <v>0.12</v>
      </c>
      <c r="G166" s="14" t="s">
        <v>115</v>
      </c>
      <c r="H166" s="14"/>
    </row>
    <row r="167" spans="1:8" x14ac:dyDescent="0.25">
      <c r="A167" s="15">
        <v>294</v>
      </c>
      <c r="B167" s="14" t="s">
        <v>29</v>
      </c>
      <c r="C167" s="14">
        <v>1</v>
      </c>
      <c r="D167" s="13" t="s">
        <v>65</v>
      </c>
      <c r="E167" s="18" t="s">
        <v>66</v>
      </c>
      <c r="F167" s="13">
        <v>0.06</v>
      </c>
      <c r="G167" s="14" t="s">
        <v>115</v>
      </c>
      <c r="H167" s="14"/>
    </row>
    <row r="168" spans="1:8" x14ac:dyDescent="0.25">
      <c r="A168" s="15">
        <v>294</v>
      </c>
      <c r="B168" s="14" t="s">
        <v>29</v>
      </c>
      <c r="C168" s="14">
        <v>2</v>
      </c>
      <c r="D168" s="13" t="s">
        <v>54</v>
      </c>
      <c r="E168" s="18" t="s">
        <v>55</v>
      </c>
      <c r="F168" s="21">
        <v>0.74</v>
      </c>
      <c r="G168" s="14" t="s">
        <v>115</v>
      </c>
      <c r="H168" s="14"/>
    </row>
    <row r="169" spans="1:8" x14ac:dyDescent="0.25">
      <c r="A169" s="15">
        <v>294</v>
      </c>
      <c r="B169" s="14" t="s">
        <v>29</v>
      </c>
      <c r="C169" s="14">
        <v>2</v>
      </c>
      <c r="D169" s="13" t="s">
        <v>56</v>
      </c>
      <c r="E169" s="18" t="s">
        <v>57</v>
      </c>
      <c r="F169" s="21">
        <v>0.4</v>
      </c>
      <c r="G169" s="14" t="s">
        <v>115</v>
      </c>
      <c r="H169" s="14"/>
    </row>
    <row r="170" spans="1:8" x14ac:dyDescent="0.25">
      <c r="A170" s="15">
        <v>294</v>
      </c>
      <c r="B170" s="14" t="s">
        <v>29</v>
      </c>
      <c r="C170" s="14">
        <v>2</v>
      </c>
      <c r="D170" s="13" t="s">
        <v>58</v>
      </c>
      <c r="E170" s="18" t="s">
        <v>59</v>
      </c>
      <c r="F170" s="13">
        <v>0.12</v>
      </c>
      <c r="G170" s="14" t="s">
        <v>115</v>
      </c>
      <c r="H170" s="14"/>
    </row>
    <row r="171" spans="1:8" x14ac:dyDescent="0.25">
      <c r="A171" s="15">
        <v>294</v>
      </c>
      <c r="B171" s="14" t="s">
        <v>29</v>
      </c>
      <c r="C171" s="14">
        <v>2</v>
      </c>
      <c r="D171" s="13" t="s">
        <v>60</v>
      </c>
      <c r="E171" s="18" t="s">
        <v>61</v>
      </c>
      <c r="F171" s="21">
        <v>0.1</v>
      </c>
      <c r="G171" s="14" t="s">
        <v>115</v>
      </c>
      <c r="H171" s="14"/>
    </row>
    <row r="172" spans="1:8" x14ac:dyDescent="0.25">
      <c r="A172" s="15">
        <v>294</v>
      </c>
      <c r="B172" s="14" t="s">
        <v>29</v>
      </c>
      <c r="C172" s="14">
        <v>2</v>
      </c>
      <c r="D172" s="13" t="s">
        <v>67</v>
      </c>
      <c r="E172" s="18" t="s">
        <v>68</v>
      </c>
      <c r="F172" s="13">
        <v>0.12</v>
      </c>
      <c r="G172" s="14" t="s">
        <v>115</v>
      </c>
      <c r="H172" s="14"/>
    </row>
    <row r="173" spans="1:8" x14ac:dyDescent="0.25">
      <c r="A173" s="15">
        <v>294</v>
      </c>
      <c r="B173" s="14" t="s">
        <v>29</v>
      </c>
      <c r="C173" s="14">
        <v>2</v>
      </c>
      <c r="D173" s="13" t="s">
        <v>63</v>
      </c>
      <c r="E173" s="18" t="s">
        <v>64</v>
      </c>
      <c r="F173" s="13">
        <v>0.12</v>
      </c>
      <c r="G173" s="14" t="s">
        <v>115</v>
      </c>
      <c r="H173" s="14"/>
    </row>
    <row r="174" spans="1:8" x14ac:dyDescent="0.25">
      <c r="A174" s="15">
        <v>294</v>
      </c>
      <c r="B174" s="14" t="s">
        <v>29</v>
      </c>
      <c r="C174" s="14">
        <v>2</v>
      </c>
      <c r="D174" s="13" t="s">
        <v>65</v>
      </c>
      <c r="E174" s="18" t="s">
        <v>66</v>
      </c>
      <c r="F174" s="13">
        <v>0.06</v>
      </c>
      <c r="G174" s="14" t="s">
        <v>115</v>
      </c>
      <c r="H174" s="14"/>
    </row>
    <row r="175" spans="1:8" x14ac:dyDescent="0.25">
      <c r="A175" s="15">
        <v>294</v>
      </c>
      <c r="B175" s="14" t="s">
        <v>29</v>
      </c>
      <c r="C175" s="14">
        <v>3</v>
      </c>
      <c r="D175" s="13" t="s">
        <v>54</v>
      </c>
      <c r="E175" s="18" t="s">
        <v>55</v>
      </c>
      <c r="F175" s="21">
        <v>0.3</v>
      </c>
      <c r="G175" s="14" t="s">
        <v>115</v>
      </c>
      <c r="H175" s="14"/>
    </row>
    <row r="176" spans="1:8" x14ac:dyDescent="0.25">
      <c r="A176" s="15">
        <v>294</v>
      </c>
      <c r="B176" s="14" t="s">
        <v>29</v>
      </c>
      <c r="C176" s="14">
        <v>3</v>
      </c>
      <c r="D176" s="13" t="s">
        <v>56</v>
      </c>
      <c r="E176" s="18" t="s">
        <v>57</v>
      </c>
      <c r="F176" s="21">
        <v>0.2</v>
      </c>
      <c r="G176" s="14" t="s">
        <v>115</v>
      </c>
      <c r="H176" s="14"/>
    </row>
    <row r="177" spans="1:8" x14ac:dyDescent="0.25">
      <c r="A177" s="15">
        <v>294</v>
      </c>
      <c r="B177" s="14" t="s">
        <v>29</v>
      </c>
      <c r="C177" s="14">
        <v>3</v>
      </c>
      <c r="D177" s="13" t="s">
        <v>60</v>
      </c>
      <c r="E177" s="18" t="s">
        <v>61</v>
      </c>
      <c r="F177" s="21">
        <v>0.1</v>
      </c>
      <c r="G177" s="14" t="s">
        <v>115</v>
      </c>
      <c r="H177" s="14"/>
    </row>
    <row r="178" spans="1:8" x14ac:dyDescent="0.25">
      <c r="A178" s="15">
        <v>294</v>
      </c>
      <c r="B178" s="14" t="s">
        <v>29</v>
      </c>
      <c r="C178" s="14">
        <v>3</v>
      </c>
      <c r="D178" s="13" t="s">
        <v>63</v>
      </c>
      <c r="E178" s="18" t="s">
        <v>64</v>
      </c>
      <c r="F178" s="13">
        <v>0.12</v>
      </c>
      <c r="G178" s="14" t="s">
        <v>115</v>
      </c>
      <c r="H178" s="14"/>
    </row>
    <row r="179" spans="1:8" x14ac:dyDescent="0.25">
      <c r="A179" s="15">
        <v>294</v>
      </c>
      <c r="B179" s="14" t="s">
        <v>29</v>
      </c>
      <c r="C179" s="14">
        <v>3</v>
      </c>
      <c r="D179" s="13" t="s">
        <v>65</v>
      </c>
      <c r="E179" s="18" t="s">
        <v>66</v>
      </c>
      <c r="F179" s="13">
        <v>0.12</v>
      </c>
      <c r="G179" s="14" t="s">
        <v>115</v>
      </c>
      <c r="H179" s="14"/>
    </row>
    <row r="180" spans="1:8" x14ac:dyDescent="0.25">
      <c r="A180" s="15">
        <v>294</v>
      </c>
      <c r="B180" s="14" t="s">
        <v>29</v>
      </c>
      <c r="C180" s="14">
        <v>4</v>
      </c>
      <c r="D180" s="13" t="s">
        <v>54</v>
      </c>
      <c r="E180" s="18" t="s">
        <v>55</v>
      </c>
      <c r="F180" s="21">
        <v>0.42</v>
      </c>
      <c r="G180" s="14" t="s">
        <v>115</v>
      </c>
      <c r="H180" s="14"/>
    </row>
    <row r="181" spans="1:8" x14ac:dyDescent="0.25">
      <c r="A181" s="15">
        <v>294</v>
      </c>
      <c r="B181" s="14" t="s">
        <v>29</v>
      </c>
      <c r="C181" s="14">
        <v>4</v>
      </c>
      <c r="D181" s="13" t="s">
        <v>56</v>
      </c>
      <c r="E181" s="18" t="s">
        <v>57</v>
      </c>
      <c r="F181" s="21">
        <v>0.2</v>
      </c>
      <c r="G181" s="14" t="s">
        <v>115</v>
      </c>
      <c r="H181" s="14"/>
    </row>
    <row r="182" spans="1:8" x14ac:dyDescent="0.25">
      <c r="A182" s="15">
        <v>294</v>
      </c>
      <c r="B182" s="14" t="s">
        <v>29</v>
      </c>
      <c r="C182" s="14">
        <v>4</v>
      </c>
      <c r="D182" s="13" t="s">
        <v>60</v>
      </c>
      <c r="E182" s="18" t="s">
        <v>61</v>
      </c>
      <c r="F182" s="21">
        <v>0.1</v>
      </c>
      <c r="G182" s="14" t="s">
        <v>115</v>
      </c>
      <c r="H182" s="14"/>
    </row>
    <row r="183" spans="1:8" x14ac:dyDescent="0.25">
      <c r="A183" s="15">
        <v>294</v>
      </c>
      <c r="B183" s="14" t="s">
        <v>29</v>
      </c>
      <c r="C183" s="14">
        <v>4</v>
      </c>
      <c r="D183" s="13" t="s">
        <v>67</v>
      </c>
      <c r="E183" s="18" t="s">
        <v>68</v>
      </c>
      <c r="F183" s="13">
        <v>0.12</v>
      </c>
      <c r="G183" s="14" t="s">
        <v>115</v>
      </c>
      <c r="H183" s="14"/>
    </row>
    <row r="184" spans="1:8" x14ac:dyDescent="0.25">
      <c r="A184" s="15">
        <v>294</v>
      </c>
      <c r="B184" s="14" t="s">
        <v>29</v>
      </c>
      <c r="C184" s="14">
        <v>4</v>
      </c>
      <c r="D184" s="13" t="s">
        <v>63</v>
      </c>
      <c r="E184" s="18" t="s">
        <v>64</v>
      </c>
      <c r="F184" s="13">
        <v>0.12</v>
      </c>
      <c r="G184" s="14" t="s">
        <v>115</v>
      </c>
      <c r="H184" s="14"/>
    </row>
    <row r="185" spans="1:8" x14ac:dyDescent="0.25">
      <c r="A185" s="15">
        <v>294</v>
      </c>
      <c r="B185" s="14" t="s">
        <v>29</v>
      </c>
      <c r="C185" s="14">
        <v>4</v>
      </c>
      <c r="D185" s="13" t="s">
        <v>65</v>
      </c>
      <c r="E185" s="18" t="s">
        <v>66</v>
      </c>
      <c r="F185" s="13">
        <v>0.06</v>
      </c>
      <c r="G185" s="14" t="s">
        <v>115</v>
      </c>
      <c r="H185" s="14"/>
    </row>
    <row r="186" spans="1:8" x14ac:dyDescent="0.25">
      <c r="A186" s="15">
        <v>286</v>
      </c>
      <c r="B186" s="14" t="s">
        <v>30</v>
      </c>
      <c r="C186" s="14">
        <v>1</v>
      </c>
      <c r="D186" s="14"/>
      <c r="E186" s="14"/>
      <c r="F186" s="13">
        <v>1</v>
      </c>
      <c r="G186" s="14" t="s">
        <v>117</v>
      </c>
      <c r="H186" s="14"/>
    </row>
    <row r="187" spans="1:8" x14ac:dyDescent="0.25">
      <c r="A187" s="15">
        <v>286</v>
      </c>
      <c r="B187" s="14" t="s">
        <v>30</v>
      </c>
      <c r="C187" s="14">
        <v>4</v>
      </c>
      <c r="D187" s="14"/>
      <c r="E187" s="14"/>
      <c r="F187" s="13">
        <v>1</v>
      </c>
      <c r="G187" s="14" t="s">
        <v>117</v>
      </c>
      <c r="H187" s="14"/>
    </row>
    <row r="188" spans="1:8" x14ac:dyDescent="0.25">
      <c r="A188" s="15">
        <v>286</v>
      </c>
      <c r="B188" s="14" t="s">
        <v>30</v>
      </c>
      <c r="C188" s="14">
        <v>5</v>
      </c>
      <c r="D188" s="14"/>
      <c r="E188" s="14"/>
      <c r="F188" s="13">
        <v>1</v>
      </c>
      <c r="G188" s="14" t="s">
        <v>117</v>
      </c>
      <c r="H188" s="14"/>
    </row>
    <row r="189" spans="1:8" x14ac:dyDescent="0.25">
      <c r="A189" s="15">
        <v>286</v>
      </c>
      <c r="B189" s="14" t="s">
        <v>30</v>
      </c>
      <c r="C189" s="14">
        <v>9</v>
      </c>
      <c r="D189" s="13" t="s">
        <v>54</v>
      </c>
      <c r="E189" s="18" t="s">
        <v>55</v>
      </c>
      <c r="F189" s="21">
        <v>0.64</v>
      </c>
      <c r="G189" s="14" t="s">
        <v>117</v>
      </c>
      <c r="H189" s="14"/>
    </row>
    <row r="190" spans="1:8" x14ac:dyDescent="0.25">
      <c r="A190" s="15">
        <v>286</v>
      </c>
      <c r="B190" s="14" t="s">
        <v>30</v>
      </c>
      <c r="C190" s="14">
        <v>9</v>
      </c>
      <c r="D190" s="13" t="s">
        <v>56</v>
      </c>
      <c r="E190" s="18" t="s">
        <v>57</v>
      </c>
      <c r="F190" s="21">
        <v>0.3</v>
      </c>
      <c r="G190" s="14" t="s">
        <v>117</v>
      </c>
      <c r="H190" s="14"/>
    </row>
    <row r="191" spans="1:8" x14ac:dyDescent="0.25">
      <c r="A191" s="15">
        <v>286</v>
      </c>
      <c r="B191" s="14" t="s">
        <v>30</v>
      </c>
      <c r="C191" s="14">
        <v>9</v>
      </c>
      <c r="D191" s="13" t="s">
        <v>58</v>
      </c>
      <c r="E191" s="18" t="s">
        <v>59</v>
      </c>
      <c r="F191" s="13">
        <v>0.12</v>
      </c>
      <c r="G191" s="14" t="s">
        <v>117</v>
      </c>
      <c r="H191" s="14"/>
    </row>
    <row r="192" spans="1:8" x14ac:dyDescent="0.25">
      <c r="A192" s="15">
        <v>286</v>
      </c>
      <c r="B192" s="14" t="s">
        <v>30</v>
      </c>
      <c r="C192" s="14">
        <v>9</v>
      </c>
      <c r="D192" s="13" t="s">
        <v>60</v>
      </c>
      <c r="E192" s="18" t="s">
        <v>61</v>
      </c>
      <c r="F192" s="21">
        <v>0.1</v>
      </c>
      <c r="G192" s="14" t="s">
        <v>117</v>
      </c>
      <c r="H192" s="14"/>
    </row>
    <row r="193" spans="1:8" x14ac:dyDescent="0.25">
      <c r="A193" s="15">
        <v>286</v>
      </c>
      <c r="B193" s="14" t="s">
        <v>30</v>
      </c>
      <c r="C193" s="14">
        <v>9</v>
      </c>
      <c r="D193" s="13" t="s">
        <v>67</v>
      </c>
      <c r="E193" s="18" t="s">
        <v>68</v>
      </c>
      <c r="F193" s="13">
        <v>0.12</v>
      </c>
      <c r="G193" s="14" t="s">
        <v>117</v>
      </c>
      <c r="H193" s="14"/>
    </row>
    <row r="194" spans="1:8" x14ac:dyDescent="0.25">
      <c r="A194" s="15">
        <v>286</v>
      </c>
      <c r="B194" s="14" t="s">
        <v>30</v>
      </c>
      <c r="C194" s="14">
        <v>9</v>
      </c>
      <c r="D194" s="13" t="s">
        <v>63</v>
      </c>
      <c r="E194" s="18" t="s">
        <v>64</v>
      </c>
      <c r="F194" s="13">
        <v>0.04</v>
      </c>
      <c r="G194" s="14" t="s">
        <v>117</v>
      </c>
      <c r="H194" s="14"/>
    </row>
    <row r="195" spans="1:8" x14ac:dyDescent="0.25">
      <c r="A195" s="15">
        <v>286</v>
      </c>
      <c r="B195" s="14" t="s">
        <v>30</v>
      </c>
      <c r="C195" s="14">
        <v>9</v>
      </c>
      <c r="D195" s="13" t="s">
        <v>65</v>
      </c>
      <c r="E195" s="18" t="s">
        <v>66</v>
      </c>
      <c r="F195" s="13">
        <v>0.06</v>
      </c>
      <c r="G195" s="14" t="s">
        <v>117</v>
      </c>
      <c r="H195" s="14"/>
    </row>
    <row r="196" spans="1:8" x14ac:dyDescent="0.25">
      <c r="A196" s="15">
        <v>286</v>
      </c>
      <c r="B196" s="14" t="s">
        <v>30</v>
      </c>
      <c r="C196" s="14">
        <v>9</v>
      </c>
      <c r="D196" s="13" t="s">
        <v>69</v>
      </c>
      <c r="E196" s="18" t="s">
        <v>70</v>
      </c>
      <c r="F196" s="13">
        <v>0.2</v>
      </c>
      <c r="G196" s="14" t="s">
        <v>117</v>
      </c>
      <c r="H196" s="14"/>
    </row>
    <row r="197" spans="1:8" x14ac:dyDescent="0.25">
      <c r="A197" s="15">
        <v>286</v>
      </c>
      <c r="B197" s="14" t="s">
        <v>30</v>
      </c>
      <c r="C197" s="14">
        <v>10</v>
      </c>
      <c r="D197" s="14"/>
      <c r="E197" s="14"/>
      <c r="F197" s="13">
        <v>1</v>
      </c>
      <c r="G197" s="14" t="s">
        <v>117</v>
      </c>
      <c r="H197" s="14"/>
    </row>
    <row r="198" spans="1:8" x14ac:dyDescent="0.25">
      <c r="A198" s="15">
        <v>286</v>
      </c>
      <c r="B198" s="14" t="s">
        <v>30</v>
      </c>
      <c r="C198" s="14">
        <v>13</v>
      </c>
      <c r="D198" s="14"/>
      <c r="E198" s="14"/>
      <c r="F198" s="13">
        <v>1</v>
      </c>
      <c r="G198" s="14" t="s">
        <v>117</v>
      </c>
      <c r="H198" s="14"/>
    </row>
    <row r="199" spans="1:8" x14ac:dyDescent="0.25">
      <c r="A199" s="15">
        <v>286</v>
      </c>
      <c r="B199" s="14" t="s">
        <v>30</v>
      </c>
      <c r="C199" s="14">
        <v>15</v>
      </c>
      <c r="D199" s="14"/>
      <c r="E199" s="14"/>
      <c r="F199" s="13">
        <v>1</v>
      </c>
      <c r="G199" s="14" t="s">
        <v>117</v>
      </c>
      <c r="H199" s="14"/>
    </row>
    <row r="200" spans="1:8" x14ac:dyDescent="0.25">
      <c r="A200" s="15">
        <v>286</v>
      </c>
      <c r="B200" s="14" t="s">
        <v>30</v>
      </c>
      <c r="C200" s="14">
        <v>16</v>
      </c>
      <c r="D200" s="14"/>
      <c r="E200" s="14"/>
      <c r="F200" s="13">
        <v>1</v>
      </c>
      <c r="G200" s="14" t="s">
        <v>117</v>
      </c>
      <c r="H200" s="14"/>
    </row>
    <row r="201" spans="1:8" x14ac:dyDescent="0.25">
      <c r="A201" s="15">
        <v>286</v>
      </c>
      <c r="B201" s="14" t="s">
        <v>30</v>
      </c>
      <c r="C201" s="14">
        <v>17</v>
      </c>
      <c r="D201" s="13" t="s">
        <v>54</v>
      </c>
      <c r="E201" s="18" t="s">
        <v>55</v>
      </c>
      <c r="F201" s="21">
        <v>0.56000000000000005</v>
      </c>
      <c r="G201" s="14" t="s">
        <v>117</v>
      </c>
      <c r="H201" s="14"/>
    </row>
    <row r="202" spans="1:8" x14ac:dyDescent="0.25">
      <c r="A202" s="15">
        <v>286</v>
      </c>
      <c r="B202" s="14" t="s">
        <v>30</v>
      </c>
      <c r="C202" s="14">
        <v>17</v>
      </c>
      <c r="D202" s="13" t="s">
        <v>56</v>
      </c>
      <c r="E202" s="18" t="s">
        <v>57</v>
      </c>
      <c r="F202" s="21">
        <v>0.4</v>
      </c>
      <c r="G202" s="14" t="s">
        <v>117</v>
      </c>
      <c r="H202" s="14"/>
    </row>
    <row r="203" spans="1:8" x14ac:dyDescent="0.25">
      <c r="A203" s="15">
        <v>286</v>
      </c>
      <c r="B203" s="14" t="s">
        <v>30</v>
      </c>
      <c r="C203" s="14">
        <v>17</v>
      </c>
      <c r="D203" s="13" t="s">
        <v>58</v>
      </c>
      <c r="E203" s="18" t="s">
        <v>59</v>
      </c>
      <c r="F203" s="13">
        <v>0.06</v>
      </c>
      <c r="G203" s="14" t="s">
        <v>117</v>
      </c>
      <c r="H203" s="14"/>
    </row>
    <row r="204" spans="1:8" x14ac:dyDescent="0.25">
      <c r="A204" s="15">
        <v>286</v>
      </c>
      <c r="B204" s="14" t="s">
        <v>30</v>
      </c>
      <c r="C204" s="14">
        <v>17</v>
      </c>
      <c r="D204" s="13" t="s">
        <v>60</v>
      </c>
      <c r="E204" s="18" t="s">
        <v>61</v>
      </c>
      <c r="F204" s="21">
        <v>0.1</v>
      </c>
      <c r="G204" s="14" t="s">
        <v>117</v>
      </c>
      <c r="H204" s="14"/>
    </row>
    <row r="205" spans="1:8" x14ac:dyDescent="0.25">
      <c r="A205" s="15">
        <v>286</v>
      </c>
      <c r="B205" s="14" t="s">
        <v>30</v>
      </c>
      <c r="C205" s="14">
        <v>17</v>
      </c>
      <c r="D205" s="13" t="s">
        <v>63</v>
      </c>
      <c r="E205" s="18" t="s">
        <v>64</v>
      </c>
      <c r="F205" s="13">
        <v>0.04</v>
      </c>
      <c r="G205" s="14" t="s">
        <v>117</v>
      </c>
      <c r="H205" s="14"/>
    </row>
    <row r="206" spans="1:8" x14ac:dyDescent="0.25">
      <c r="A206" s="15">
        <v>286</v>
      </c>
      <c r="B206" s="14" t="s">
        <v>30</v>
      </c>
      <c r="C206" s="14">
        <v>17</v>
      </c>
      <c r="D206" s="13" t="s">
        <v>65</v>
      </c>
      <c r="E206" s="18" t="s">
        <v>66</v>
      </c>
      <c r="F206" s="13">
        <v>0.06</v>
      </c>
      <c r="G206" s="14" t="s">
        <v>117</v>
      </c>
      <c r="H206" s="14"/>
    </row>
    <row r="207" spans="1:8" x14ac:dyDescent="0.25">
      <c r="A207" s="15">
        <v>286</v>
      </c>
      <c r="B207" s="14" t="s">
        <v>30</v>
      </c>
      <c r="C207" s="14">
        <v>17</v>
      </c>
      <c r="D207" s="13" t="s">
        <v>69</v>
      </c>
      <c r="E207" s="18" t="s">
        <v>70</v>
      </c>
      <c r="F207" s="13">
        <v>0.3</v>
      </c>
      <c r="G207" s="14" t="s">
        <v>117</v>
      </c>
      <c r="H207" s="14"/>
    </row>
    <row r="208" spans="1:8" x14ac:dyDescent="0.25">
      <c r="A208" s="15">
        <v>286</v>
      </c>
      <c r="B208" s="14" t="s">
        <v>30</v>
      </c>
      <c r="C208" s="14">
        <v>18</v>
      </c>
      <c r="D208" s="14"/>
      <c r="E208" s="14"/>
      <c r="F208" s="13">
        <v>1</v>
      </c>
      <c r="G208" s="14" t="s">
        <v>117</v>
      </c>
      <c r="H208" s="14"/>
    </row>
    <row r="209" spans="1:8" x14ac:dyDescent="0.25">
      <c r="A209" s="15">
        <v>257</v>
      </c>
      <c r="B209" s="14" t="s">
        <v>31</v>
      </c>
      <c r="C209" s="14">
        <v>1</v>
      </c>
      <c r="D209" s="14"/>
      <c r="E209" s="14"/>
      <c r="F209" s="13">
        <v>1</v>
      </c>
      <c r="G209" s="14" t="s">
        <v>119</v>
      </c>
      <c r="H209" s="14"/>
    </row>
    <row r="210" spans="1:8" x14ac:dyDescent="0.25">
      <c r="A210" s="15">
        <v>212</v>
      </c>
      <c r="B210" s="14" t="s">
        <v>32</v>
      </c>
      <c r="C210" s="14">
        <v>1</v>
      </c>
      <c r="D210" s="14"/>
      <c r="E210" s="14"/>
      <c r="F210" s="13">
        <v>1</v>
      </c>
      <c r="G210" s="14" t="s">
        <v>121</v>
      </c>
      <c r="H210" s="14"/>
    </row>
    <row r="211" spans="1:8" x14ac:dyDescent="0.25">
      <c r="A211" s="15">
        <v>328</v>
      </c>
      <c r="B211" s="14" t="s">
        <v>33</v>
      </c>
      <c r="C211" s="14">
        <v>1</v>
      </c>
      <c r="D211" s="13" t="s">
        <v>54</v>
      </c>
      <c r="E211" s="18" t="s">
        <v>55</v>
      </c>
      <c r="F211" s="21">
        <v>0.68</v>
      </c>
      <c r="G211" s="14" t="s">
        <v>123</v>
      </c>
      <c r="H211" s="14"/>
    </row>
    <row r="212" spans="1:8" x14ac:dyDescent="0.25">
      <c r="A212" s="15">
        <v>328</v>
      </c>
      <c r="B212" s="14" t="s">
        <v>33</v>
      </c>
      <c r="C212" s="14">
        <v>1</v>
      </c>
      <c r="D212" s="13" t="s">
        <v>56</v>
      </c>
      <c r="E212" s="18" t="s">
        <v>57</v>
      </c>
      <c r="F212" s="21">
        <v>0.4</v>
      </c>
      <c r="G212" s="14" t="s">
        <v>123</v>
      </c>
      <c r="H212" s="14"/>
    </row>
    <row r="213" spans="1:8" x14ac:dyDescent="0.25">
      <c r="A213" s="15">
        <v>328</v>
      </c>
      <c r="B213" s="14" t="s">
        <v>33</v>
      </c>
      <c r="C213" s="14">
        <v>1</v>
      </c>
      <c r="D213" s="13" t="s">
        <v>58</v>
      </c>
      <c r="E213" s="18" t="s">
        <v>59</v>
      </c>
      <c r="F213" s="13">
        <v>0.06</v>
      </c>
      <c r="G213" s="14" t="s">
        <v>123</v>
      </c>
      <c r="H213" s="14"/>
    </row>
    <row r="214" spans="1:8" x14ac:dyDescent="0.25">
      <c r="A214" s="15">
        <v>328</v>
      </c>
      <c r="B214" s="14" t="s">
        <v>33</v>
      </c>
      <c r="C214" s="14">
        <v>1</v>
      </c>
      <c r="D214" s="13" t="s">
        <v>60</v>
      </c>
      <c r="E214" s="18" t="s">
        <v>61</v>
      </c>
      <c r="F214" s="21">
        <v>0.1</v>
      </c>
      <c r="G214" s="14" t="s">
        <v>123</v>
      </c>
      <c r="H214" s="14"/>
    </row>
    <row r="215" spans="1:8" x14ac:dyDescent="0.25">
      <c r="A215" s="15">
        <v>328</v>
      </c>
      <c r="B215" s="14" t="s">
        <v>33</v>
      </c>
      <c r="C215" s="14">
        <v>1</v>
      </c>
      <c r="D215" s="13" t="s">
        <v>67</v>
      </c>
      <c r="E215" s="18" t="s">
        <v>68</v>
      </c>
      <c r="F215" s="13">
        <v>0.12</v>
      </c>
      <c r="G215" s="14" t="s">
        <v>123</v>
      </c>
      <c r="H215" s="14"/>
    </row>
    <row r="216" spans="1:8" x14ac:dyDescent="0.25">
      <c r="A216" s="15">
        <v>328</v>
      </c>
      <c r="B216" s="14" t="s">
        <v>33</v>
      </c>
      <c r="C216" s="14">
        <v>1</v>
      </c>
      <c r="D216" s="13" t="s">
        <v>63</v>
      </c>
      <c r="E216" s="18" t="s">
        <v>64</v>
      </c>
      <c r="F216" s="13">
        <v>0.04</v>
      </c>
      <c r="G216" s="14" t="s">
        <v>123</v>
      </c>
      <c r="H216" s="14"/>
    </row>
    <row r="217" spans="1:8" x14ac:dyDescent="0.25">
      <c r="A217" s="15">
        <v>328</v>
      </c>
      <c r="B217" s="14" t="s">
        <v>33</v>
      </c>
      <c r="C217" s="14">
        <v>1</v>
      </c>
      <c r="D217" s="13" t="s">
        <v>65</v>
      </c>
      <c r="E217" s="18" t="s">
        <v>66</v>
      </c>
      <c r="F217" s="13">
        <v>0.18</v>
      </c>
      <c r="G217" s="14" t="s">
        <v>123</v>
      </c>
      <c r="H217" s="14"/>
    </row>
    <row r="218" spans="1:8" x14ac:dyDescent="0.25">
      <c r="A218" s="15">
        <v>328</v>
      </c>
      <c r="B218" s="14" t="s">
        <v>33</v>
      </c>
      <c r="C218" s="14">
        <v>2</v>
      </c>
      <c r="D218" s="13" t="s">
        <v>54</v>
      </c>
      <c r="E218" s="18" t="s">
        <v>55</v>
      </c>
      <c r="F218" s="21">
        <v>0.38</v>
      </c>
      <c r="G218" s="14" t="s">
        <v>123</v>
      </c>
      <c r="H218" s="14"/>
    </row>
    <row r="219" spans="1:8" x14ac:dyDescent="0.25">
      <c r="A219" s="15">
        <v>328</v>
      </c>
      <c r="B219" s="14" t="s">
        <v>33</v>
      </c>
      <c r="C219" s="14">
        <v>2</v>
      </c>
      <c r="D219" s="13" t="s">
        <v>56</v>
      </c>
      <c r="E219" s="18" t="s">
        <v>57</v>
      </c>
      <c r="F219" s="21">
        <v>0.1</v>
      </c>
      <c r="G219" s="14" t="s">
        <v>123</v>
      </c>
      <c r="H219" s="14"/>
    </row>
    <row r="220" spans="1:8" x14ac:dyDescent="0.25">
      <c r="A220" s="15">
        <v>328</v>
      </c>
      <c r="B220" s="14" t="s">
        <v>33</v>
      </c>
      <c r="C220" s="14">
        <v>2</v>
      </c>
      <c r="D220" s="13" t="s">
        <v>58</v>
      </c>
      <c r="E220" s="18" t="s">
        <v>59</v>
      </c>
      <c r="F220" s="13">
        <v>0.06</v>
      </c>
      <c r="G220" s="14" t="s">
        <v>123</v>
      </c>
      <c r="H220" s="14"/>
    </row>
    <row r="221" spans="1:8" x14ac:dyDescent="0.25">
      <c r="A221" s="15">
        <v>328</v>
      </c>
      <c r="B221" s="14" t="s">
        <v>33</v>
      </c>
      <c r="C221" s="14">
        <v>2</v>
      </c>
      <c r="D221" s="13" t="s">
        <v>60</v>
      </c>
      <c r="E221" s="18" t="s">
        <v>61</v>
      </c>
      <c r="F221" s="21">
        <v>0.1</v>
      </c>
      <c r="G221" s="14" t="s">
        <v>123</v>
      </c>
      <c r="H221" s="14"/>
    </row>
    <row r="222" spans="1:8" x14ac:dyDescent="0.25">
      <c r="A222" s="15">
        <v>328</v>
      </c>
      <c r="B222" s="14" t="s">
        <v>33</v>
      </c>
      <c r="C222" s="14">
        <v>2</v>
      </c>
      <c r="D222" s="13" t="s">
        <v>67</v>
      </c>
      <c r="E222" s="18" t="s">
        <v>68</v>
      </c>
      <c r="F222" s="13">
        <v>0.12</v>
      </c>
      <c r="G222" s="14" t="s">
        <v>123</v>
      </c>
      <c r="H222" s="14"/>
    </row>
    <row r="223" spans="1:8" x14ac:dyDescent="0.25">
      <c r="A223" s="15">
        <v>328</v>
      </c>
      <c r="B223" s="14" t="s">
        <v>33</v>
      </c>
      <c r="C223" s="14">
        <v>2</v>
      </c>
      <c r="D223" s="13" t="s">
        <v>63</v>
      </c>
      <c r="E223" s="18" t="s">
        <v>64</v>
      </c>
      <c r="F223" s="13">
        <v>0.04</v>
      </c>
      <c r="G223" s="14" t="s">
        <v>123</v>
      </c>
      <c r="H223" s="14"/>
    </row>
    <row r="224" spans="1:8" x14ac:dyDescent="0.25">
      <c r="A224" s="15">
        <v>328</v>
      </c>
      <c r="B224" s="14" t="s">
        <v>33</v>
      </c>
      <c r="C224" s="14">
        <v>2</v>
      </c>
      <c r="D224" s="13" t="s">
        <v>65</v>
      </c>
      <c r="E224" s="18" t="s">
        <v>66</v>
      </c>
      <c r="F224" s="13">
        <v>0.06</v>
      </c>
      <c r="G224" s="14" t="s">
        <v>123</v>
      </c>
      <c r="H224" s="14"/>
    </row>
    <row r="225" spans="1:8" x14ac:dyDescent="0.25">
      <c r="A225" s="15">
        <v>328</v>
      </c>
      <c r="B225" s="14" t="s">
        <v>33</v>
      </c>
      <c r="C225" s="14">
        <v>3</v>
      </c>
      <c r="D225" s="13" t="s">
        <v>54</v>
      </c>
      <c r="E225" s="18" t="s">
        <v>55</v>
      </c>
      <c r="F225" s="21">
        <v>0.68</v>
      </c>
      <c r="G225" s="14" t="s">
        <v>123</v>
      </c>
      <c r="H225" s="14"/>
    </row>
    <row r="226" spans="1:8" x14ac:dyDescent="0.25">
      <c r="A226" s="15">
        <v>328</v>
      </c>
      <c r="B226" s="14" t="s">
        <v>33</v>
      </c>
      <c r="C226" s="14">
        <v>3</v>
      </c>
      <c r="D226" s="13" t="s">
        <v>56</v>
      </c>
      <c r="E226" s="18" t="s">
        <v>57</v>
      </c>
      <c r="F226" s="21">
        <v>0.4</v>
      </c>
      <c r="G226" s="14" t="s">
        <v>123</v>
      </c>
      <c r="H226" s="14"/>
    </row>
    <row r="227" spans="1:8" x14ac:dyDescent="0.25">
      <c r="A227" s="15">
        <v>328</v>
      </c>
      <c r="B227" s="14" t="s">
        <v>33</v>
      </c>
      <c r="C227" s="14">
        <v>3</v>
      </c>
      <c r="D227" s="13" t="s">
        <v>58</v>
      </c>
      <c r="E227" s="18" t="s">
        <v>59</v>
      </c>
      <c r="F227" s="13">
        <v>0.06</v>
      </c>
      <c r="G227" s="14" t="s">
        <v>123</v>
      </c>
      <c r="H227" s="14"/>
    </row>
    <row r="228" spans="1:8" x14ac:dyDescent="0.25">
      <c r="A228" s="15">
        <v>328</v>
      </c>
      <c r="B228" s="14" t="s">
        <v>33</v>
      </c>
      <c r="C228" s="14">
        <v>3</v>
      </c>
      <c r="D228" s="13" t="s">
        <v>60</v>
      </c>
      <c r="E228" s="18" t="s">
        <v>61</v>
      </c>
      <c r="F228" s="21">
        <v>0.1</v>
      </c>
      <c r="G228" s="14" t="s">
        <v>123</v>
      </c>
      <c r="H228" s="14"/>
    </row>
    <row r="229" spans="1:8" x14ac:dyDescent="0.25">
      <c r="A229" s="15">
        <v>328</v>
      </c>
      <c r="B229" s="14" t="s">
        <v>33</v>
      </c>
      <c r="C229" s="14">
        <v>3</v>
      </c>
      <c r="D229" s="13" t="s">
        <v>67</v>
      </c>
      <c r="E229" s="18" t="s">
        <v>68</v>
      </c>
      <c r="F229" s="13">
        <v>0.12</v>
      </c>
      <c r="G229" s="14" t="s">
        <v>123</v>
      </c>
      <c r="H229" s="14"/>
    </row>
    <row r="230" spans="1:8" x14ac:dyDescent="0.25">
      <c r="A230" s="15">
        <v>328</v>
      </c>
      <c r="B230" s="14" t="s">
        <v>33</v>
      </c>
      <c r="C230" s="14">
        <v>3</v>
      </c>
      <c r="D230" s="13" t="s">
        <v>63</v>
      </c>
      <c r="E230" s="18" t="s">
        <v>64</v>
      </c>
      <c r="F230" s="13">
        <v>0.04</v>
      </c>
      <c r="G230" s="14" t="s">
        <v>123</v>
      </c>
      <c r="H230" s="14"/>
    </row>
    <row r="231" spans="1:8" x14ac:dyDescent="0.25">
      <c r="A231" s="15">
        <v>328</v>
      </c>
      <c r="B231" s="14" t="s">
        <v>33</v>
      </c>
      <c r="C231" s="14">
        <v>3</v>
      </c>
      <c r="D231" s="13" t="s">
        <v>65</v>
      </c>
      <c r="E231" s="18" t="s">
        <v>66</v>
      </c>
      <c r="F231" s="13">
        <v>0.18</v>
      </c>
      <c r="G231" s="14" t="s">
        <v>123</v>
      </c>
      <c r="H231" s="14"/>
    </row>
    <row r="232" spans="1:8" x14ac:dyDescent="0.25">
      <c r="A232" s="15">
        <v>12</v>
      </c>
      <c r="B232" s="14" t="s">
        <v>34</v>
      </c>
      <c r="C232" s="14">
        <v>1</v>
      </c>
      <c r="D232" s="13"/>
      <c r="E232" s="18"/>
      <c r="F232" s="13">
        <v>1</v>
      </c>
      <c r="G232" s="14" t="s">
        <v>125</v>
      </c>
      <c r="H232" s="14"/>
    </row>
    <row r="233" spans="1:8" x14ac:dyDescent="0.25">
      <c r="A233" s="15">
        <v>12</v>
      </c>
      <c r="B233" s="14" t="s">
        <v>34</v>
      </c>
      <c r="C233" s="14">
        <v>2</v>
      </c>
      <c r="D233" s="13"/>
      <c r="E233" s="18"/>
      <c r="F233" s="13">
        <v>1</v>
      </c>
      <c r="G233" s="14" t="s">
        <v>125</v>
      </c>
      <c r="H233" s="14"/>
    </row>
    <row r="234" spans="1:8" x14ac:dyDescent="0.25">
      <c r="A234" s="15">
        <v>12</v>
      </c>
      <c r="B234" s="14" t="s">
        <v>34</v>
      </c>
      <c r="C234" s="14">
        <v>3</v>
      </c>
      <c r="D234" s="13"/>
      <c r="E234" s="18"/>
      <c r="F234" s="13">
        <v>1</v>
      </c>
      <c r="G234" s="14" t="s">
        <v>125</v>
      </c>
      <c r="H234" s="14"/>
    </row>
    <row r="235" spans="1:8" x14ac:dyDescent="0.25">
      <c r="A235" s="15">
        <v>12</v>
      </c>
      <c r="B235" s="14" t="s">
        <v>34</v>
      </c>
      <c r="C235" s="14">
        <v>4</v>
      </c>
      <c r="D235" s="13"/>
      <c r="E235" s="18"/>
      <c r="F235" s="13">
        <v>1</v>
      </c>
      <c r="G235" s="14" t="s">
        <v>125</v>
      </c>
      <c r="H235" s="14"/>
    </row>
    <row r="236" spans="1:8" x14ac:dyDescent="0.25">
      <c r="A236" s="15">
        <v>12</v>
      </c>
      <c r="B236" s="14" t="s">
        <v>34</v>
      </c>
      <c r="C236" s="14">
        <v>5</v>
      </c>
      <c r="D236" s="13"/>
      <c r="E236" s="18"/>
      <c r="F236" s="13">
        <v>1</v>
      </c>
      <c r="G236" s="14" t="s">
        <v>125</v>
      </c>
      <c r="H236" s="14"/>
    </row>
    <row r="237" spans="1:8" x14ac:dyDescent="0.25">
      <c r="A237" s="15">
        <v>12</v>
      </c>
      <c r="B237" s="14" t="s">
        <v>34</v>
      </c>
      <c r="C237" s="14">
        <v>6</v>
      </c>
      <c r="D237" s="13"/>
      <c r="E237" s="18"/>
      <c r="F237" s="13">
        <v>1</v>
      </c>
      <c r="G237" s="14" t="s">
        <v>125</v>
      </c>
      <c r="H237" s="14"/>
    </row>
    <row r="238" spans="1:8" x14ac:dyDescent="0.25">
      <c r="A238" s="15">
        <v>259</v>
      </c>
      <c r="B238" s="14" t="s">
        <v>35</v>
      </c>
      <c r="C238" s="14">
        <v>1</v>
      </c>
      <c r="D238" s="14"/>
      <c r="E238" s="14"/>
      <c r="F238" s="13">
        <v>1</v>
      </c>
      <c r="G238" s="14" t="s">
        <v>127</v>
      </c>
      <c r="H238" s="14"/>
    </row>
    <row r="239" spans="1:8" x14ac:dyDescent="0.25">
      <c r="A239" s="15">
        <v>259</v>
      </c>
      <c r="B239" s="14" t="s">
        <v>35</v>
      </c>
      <c r="C239" s="14">
        <v>2</v>
      </c>
      <c r="D239" s="14"/>
      <c r="E239" s="14"/>
      <c r="F239" s="13">
        <v>1</v>
      </c>
      <c r="G239" s="14" t="s">
        <v>127</v>
      </c>
      <c r="H239" s="14"/>
    </row>
    <row r="240" spans="1:8" x14ac:dyDescent="0.25">
      <c r="A240" s="15">
        <v>14</v>
      </c>
      <c r="B240" s="14" t="s">
        <v>36</v>
      </c>
      <c r="C240" s="14">
        <v>1</v>
      </c>
      <c r="D240" s="13" t="s">
        <v>63</v>
      </c>
      <c r="E240" s="18" t="s">
        <v>64</v>
      </c>
      <c r="F240" s="13">
        <v>0.04</v>
      </c>
      <c r="G240" s="14" t="s">
        <v>128</v>
      </c>
      <c r="H240" s="14"/>
    </row>
    <row r="241" spans="1:8" x14ac:dyDescent="0.25">
      <c r="A241" s="15">
        <v>14</v>
      </c>
      <c r="B241" s="14" t="s">
        <v>36</v>
      </c>
      <c r="C241" s="14">
        <v>2</v>
      </c>
      <c r="D241" s="13" t="s">
        <v>63</v>
      </c>
      <c r="E241" s="18" t="s">
        <v>64</v>
      </c>
      <c r="F241" s="13">
        <v>0.04</v>
      </c>
      <c r="G241" s="14" t="s">
        <v>128</v>
      </c>
      <c r="H241" s="14"/>
    </row>
    <row r="242" spans="1:8" x14ac:dyDescent="0.25">
      <c r="A242" s="15">
        <v>141</v>
      </c>
      <c r="B242" s="14" t="s">
        <v>37</v>
      </c>
      <c r="C242" s="14">
        <v>4</v>
      </c>
      <c r="D242" s="13" t="s">
        <v>54</v>
      </c>
      <c r="E242" s="18" t="s">
        <v>55</v>
      </c>
      <c r="F242" s="21">
        <v>0.26</v>
      </c>
      <c r="G242" s="14" t="s">
        <v>129</v>
      </c>
      <c r="H242" s="14"/>
    </row>
    <row r="243" spans="1:8" x14ac:dyDescent="0.25">
      <c r="A243" s="15">
        <v>141</v>
      </c>
      <c r="B243" s="14" t="s">
        <v>37</v>
      </c>
      <c r="C243" s="14">
        <v>4</v>
      </c>
      <c r="D243" s="13" t="s">
        <v>56</v>
      </c>
      <c r="E243" s="18" t="s">
        <v>57</v>
      </c>
      <c r="F243" s="21">
        <v>0.1</v>
      </c>
      <c r="G243" s="14" t="s">
        <v>129</v>
      </c>
      <c r="H243" s="14"/>
    </row>
    <row r="244" spans="1:8" x14ac:dyDescent="0.25">
      <c r="A244" s="15">
        <v>141</v>
      </c>
      <c r="B244" s="14" t="s">
        <v>37</v>
      </c>
      <c r="C244" s="14">
        <v>4</v>
      </c>
      <c r="D244" s="13" t="s">
        <v>58</v>
      </c>
      <c r="E244" s="18" t="s">
        <v>59</v>
      </c>
      <c r="F244" s="13">
        <v>0.06</v>
      </c>
      <c r="G244" s="14" t="s">
        <v>129</v>
      </c>
      <c r="H244" s="14"/>
    </row>
    <row r="245" spans="1:8" x14ac:dyDescent="0.25">
      <c r="A245" s="15">
        <v>141</v>
      </c>
      <c r="B245" s="14" t="s">
        <v>37</v>
      </c>
      <c r="C245" s="14">
        <v>4</v>
      </c>
      <c r="D245" s="13" t="s">
        <v>60</v>
      </c>
      <c r="E245" s="18" t="s">
        <v>61</v>
      </c>
      <c r="F245" s="21">
        <v>0.1</v>
      </c>
      <c r="G245" s="14" t="s">
        <v>129</v>
      </c>
      <c r="H245" s="14"/>
    </row>
    <row r="246" spans="1:8" x14ac:dyDescent="0.25">
      <c r="A246" s="15">
        <v>141</v>
      </c>
      <c r="B246" s="14" t="s">
        <v>37</v>
      </c>
      <c r="C246" s="14">
        <v>4</v>
      </c>
      <c r="D246" s="13" t="s">
        <v>63</v>
      </c>
      <c r="E246" s="18" t="s">
        <v>64</v>
      </c>
      <c r="F246" s="13">
        <v>0.08</v>
      </c>
      <c r="G246" s="14" t="s">
        <v>129</v>
      </c>
      <c r="H246" s="14"/>
    </row>
    <row r="247" spans="1:8" x14ac:dyDescent="0.25">
      <c r="A247" s="15">
        <v>141</v>
      </c>
      <c r="B247" s="14" t="s">
        <v>37</v>
      </c>
      <c r="C247" s="14">
        <v>4</v>
      </c>
      <c r="D247" s="13" t="s">
        <v>65</v>
      </c>
      <c r="E247" s="18" t="s">
        <v>66</v>
      </c>
      <c r="F247" s="13">
        <v>0.06</v>
      </c>
      <c r="G247" s="14" t="s">
        <v>129</v>
      </c>
      <c r="H247" s="14"/>
    </row>
    <row r="248" spans="1:8" x14ac:dyDescent="0.25">
      <c r="A248" s="15">
        <v>141</v>
      </c>
      <c r="B248" s="14" t="s">
        <v>37</v>
      </c>
      <c r="C248" s="14">
        <v>7</v>
      </c>
      <c r="D248" s="14"/>
      <c r="E248" s="14"/>
      <c r="F248" s="13">
        <v>1</v>
      </c>
      <c r="G248" s="14" t="s">
        <v>129</v>
      </c>
      <c r="H248" s="14"/>
    </row>
    <row r="249" spans="1:8" x14ac:dyDescent="0.25">
      <c r="A249" s="15">
        <v>141</v>
      </c>
      <c r="B249" s="14" t="s">
        <v>37</v>
      </c>
      <c r="C249" s="14">
        <v>8</v>
      </c>
      <c r="D249" s="14"/>
      <c r="E249" s="14"/>
      <c r="F249" s="13">
        <v>1</v>
      </c>
      <c r="G249" s="14" t="s">
        <v>129</v>
      </c>
      <c r="H249" s="14"/>
    </row>
    <row r="250" spans="1:8" x14ac:dyDescent="0.25">
      <c r="A250" s="15">
        <v>141</v>
      </c>
      <c r="B250" s="14" t="s">
        <v>37</v>
      </c>
      <c r="C250" s="14">
        <v>10</v>
      </c>
      <c r="D250" s="14"/>
      <c r="E250" s="14"/>
      <c r="F250" s="13">
        <v>1</v>
      </c>
      <c r="G250" s="14" t="s">
        <v>129</v>
      </c>
      <c r="H250" s="14"/>
    </row>
    <row r="251" spans="1:8" x14ac:dyDescent="0.25">
      <c r="A251" s="15">
        <v>192</v>
      </c>
      <c r="B251" s="14" t="s">
        <v>38</v>
      </c>
      <c r="C251" s="14">
        <v>1</v>
      </c>
      <c r="D251" s="14"/>
      <c r="E251" s="14"/>
      <c r="F251" s="13">
        <v>1</v>
      </c>
      <c r="G251" s="14" t="s">
        <v>131</v>
      </c>
      <c r="H251" s="14"/>
    </row>
    <row r="252" spans="1:8" x14ac:dyDescent="0.25">
      <c r="A252" s="15">
        <v>192</v>
      </c>
      <c r="B252" s="14" t="s">
        <v>38</v>
      </c>
      <c r="C252" s="14">
        <v>2</v>
      </c>
      <c r="D252" s="14"/>
      <c r="E252" s="14"/>
      <c r="F252" s="13">
        <v>1</v>
      </c>
      <c r="G252" s="14" t="s">
        <v>131</v>
      </c>
      <c r="H252" s="14"/>
    </row>
    <row r="253" spans="1:8" x14ac:dyDescent="0.25">
      <c r="A253" s="15">
        <v>192</v>
      </c>
      <c r="B253" s="14" t="s">
        <v>38</v>
      </c>
      <c r="C253" s="14">
        <v>3</v>
      </c>
      <c r="D253" s="14"/>
      <c r="E253" s="14"/>
      <c r="F253" s="13">
        <v>1</v>
      </c>
      <c r="G253" s="14" t="s">
        <v>131</v>
      </c>
      <c r="H253" s="14"/>
    </row>
    <row r="254" spans="1:8" x14ac:dyDescent="0.25">
      <c r="A254" s="15">
        <v>192</v>
      </c>
      <c r="B254" s="14" t="s">
        <v>38</v>
      </c>
      <c r="C254" s="14">
        <v>4</v>
      </c>
      <c r="D254" s="14"/>
      <c r="E254" s="14"/>
      <c r="F254" s="13">
        <v>1</v>
      </c>
      <c r="G254" s="14" t="s">
        <v>131</v>
      </c>
      <c r="H254" s="14"/>
    </row>
    <row r="255" spans="1:8" x14ac:dyDescent="0.25">
      <c r="A255" s="15">
        <v>192</v>
      </c>
      <c r="B255" s="14" t="s">
        <v>38</v>
      </c>
      <c r="C255" s="14">
        <v>5</v>
      </c>
      <c r="D255" s="14"/>
      <c r="E255" s="14"/>
      <c r="F255" s="13">
        <v>1</v>
      </c>
      <c r="G255" s="14" t="s">
        <v>131</v>
      </c>
      <c r="H255" s="14"/>
    </row>
  </sheetData>
  <autoFilter ref="A1:F255" xr:uid="{AC0F7CA1-07BF-4144-850E-DB6A399920DA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Muestras anteriores</vt:lpstr>
      <vt:lpstr>Consolidado</vt:lpstr>
      <vt:lpstr>Graduación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Valcarcel Pineda</dc:creator>
  <cp:lastModifiedBy>71547829</cp:lastModifiedBy>
  <dcterms:created xsi:type="dcterms:W3CDTF">2025-08-04T14:24:55Z</dcterms:created>
  <dcterms:modified xsi:type="dcterms:W3CDTF">2025-09-04T20:23:28Z</dcterms:modified>
</cp:coreProperties>
</file>